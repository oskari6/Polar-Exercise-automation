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Temp\Excel_script\"/>
    </mc:Choice>
  </mc:AlternateContent>
  <xr:revisionPtr revIDLastSave="0" documentId="13_ncr:1_{E658D839-DE39-488F-B575-E810E91B7E58}" xr6:coauthVersionLast="47" xr6:coauthVersionMax="47" xr10:uidLastSave="{00000000-0000-0000-0000-000000000000}"/>
  <bookViews>
    <workbookView xWindow="-108" yWindow="-108" windowWidth="23256" windowHeight="12576" xr2:uid="{7A7D2289-A775-4C2B-91A1-EFFB021F5759}"/>
  </bookViews>
  <sheets>
    <sheet name="2024" sheetId="1" r:id="rId1"/>
    <sheet name="2024ds" sheetId="2" r:id="rId2"/>
  </sheets>
  <definedNames>
    <definedName name="_xlcn.WorksheetConnection_shoe_test.xlsmexercise_data1" hidden="1">exercise_data</definedName>
  </definedNames>
  <calcPr calcId="191029"/>
  <pivotCaches>
    <pivotCache cacheId="0" r:id="rId3"/>
    <pivotCache cacheId="4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ercise_data 1_c0213a55-714e-46a7-b9bf-87db17f4f301" name="exercise_data 1" connection="Query - exercise_data"/>
          <x15:modelTable id="exercise_data" name="exercise_data" connection="WorksheetConnection_shoe_test.xlsm!exercise_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2" l="1"/>
  <c r="F5" i="2"/>
  <c r="F6" i="2" s="1"/>
  <c r="F2" i="2"/>
  <c r="F3" i="2" s="1"/>
  <c r="F4" i="2" s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" i="1"/>
  <c r="L4" i="1"/>
  <c r="L5" i="1"/>
  <c r="L6" i="1"/>
  <c r="L7" i="1"/>
  <c r="L8" i="1"/>
  <c r="L9" i="1"/>
  <c r="L10" i="1"/>
  <c r="L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2" i="1"/>
  <c r="F8" i="2"/>
  <c r="F9" i="2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W369" i="1"/>
  <c r="V3" i="1"/>
  <c r="W3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X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X24" i="1" s="1"/>
  <c r="G24" i="1" s="1"/>
  <c r="V25" i="1"/>
  <c r="W25" i="1" s="1"/>
  <c r="V26" i="1"/>
  <c r="X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X32" i="1" s="1"/>
  <c r="G32" i="1" s="1"/>
  <c r="V33" i="1"/>
  <c r="W33" i="1" s="1"/>
  <c r="V34" i="1"/>
  <c r="X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X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X64" i="1" s="1"/>
  <c r="G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X72" i="1" s="1"/>
  <c r="G72" i="1" s="1"/>
  <c r="V73" i="1"/>
  <c r="W73" i="1" s="1"/>
  <c r="V74" i="1"/>
  <c r="X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X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X96" i="1" s="1"/>
  <c r="G96" i="1" s="1"/>
  <c r="V97" i="1"/>
  <c r="W97" i="1" s="1"/>
  <c r="V98" i="1"/>
  <c r="X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X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X136" i="1" s="1"/>
  <c r="G136" i="1" s="1"/>
  <c r="V137" i="1"/>
  <c r="W137" i="1" s="1"/>
  <c r="V138" i="1"/>
  <c r="X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X152" i="1" s="1"/>
  <c r="G152" i="1" s="1"/>
  <c r="V153" i="1"/>
  <c r="W153" i="1" s="1"/>
  <c r="V154" i="1"/>
  <c r="X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X160" i="1" s="1"/>
  <c r="G160" i="1" s="1"/>
  <c r="V161" i="1"/>
  <c r="W161" i="1" s="1"/>
  <c r="V162" i="1"/>
  <c r="X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X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X184" i="1" s="1"/>
  <c r="G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X192" i="1" s="1"/>
  <c r="G192" i="1" s="1"/>
  <c r="V193" i="1"/>
  <c r="W193" i="1" s="1"/>
  <c r="V194" i="1"/>
  <c r="X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X200" i="1" s="1"/>
  <c r="G200" i="1" s="1"/>
  <c r="V201" i="1"/>
  <c r="W201" i="1" s="1"/>
  <c r="V202" i="1"/>
  <c r="X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X208" i="1" s="1"/>
  <c r="G208" i="1" s="1"/>
  <c r="V209" i="1"/>
  <c r="W209" i="1" s="1"/>
  <c r="V210" i="1"/>
  <c r="X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X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X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X248" i="1" s="1"/>
  <c r="G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X258" i="1" s="1"/>
  <c r="V259" i="1"/>
  <c r="W259" i="1" s="1"/>
  <c r="V260" i="1"/>
  <c r="W260" i="1" s="1"/>
  <c r="V261" i="1"/>
  <c r="W261" i="1" s="1"/>
  <c r="V262" i="1"/>
  <c r="W262" i="1" s="1"/>
  <c r="V263" i="1"/>
  <c r="W263" i="1" s="1"/>
  <c r="V264" i="1"/>
  <c r="W264" i="1" s="1"/>
  <c r="V265" i="1"/>
  <c r="W265" i="1" s="1"/>
  <c r="V266" i="1"/>
  <c r="W266" i="1" s="1"/>
  <c r="V267" i="1"/>
  <c r="W267" i="1" s="1"/>
  <c r="V268" i="1"/>
  <c r="W268" i="1" s="1"/>
  <c r="V269" i="1"/>
  <c r="W269" i="1" s="1"/>
  <c r="V270" i="1"/>
  <c r="W270" i="1" s="1"/>
  <c r="V271" i="1"/>
  <c r="W271" i="1" s="1"/>
  <c r="V272" i="1"/>
  <c r="W272" i="1" s="1"/>
  <c r="V273" i="1"/>
  <c r="W273" i="1" s="1"/>
  <c r="V274" i="1"/>
  <c r="X274" i="1" s="1"/>
  <c r="V275" i="1"/>
  <c r="W275" i="1" s="1"/>
  <c r="V276" i="1"/>
  <c r="W276" i="1" s="1"/>
  <c r="V277" i="1"/>
  <c r="W277" i="1" s="1"/>
  <c r="V278" i="1"/>
  <c r="W278" i="1" s="1"/>
  <c r="V279" i="1"/>
  <c r="W279" i="1" s="1"/>
  <c r="V280" i="1"/>
  <c r="W280" i="1" s="1"/>
  <c r="V281" i="1"/>
  <c r="W281" i="1" s="1"/>
  <c r="V282" i="1"/>
  <c r="W282" i="1" s="1"/>
  <c r="V283" i="1"/>
  <c r="W283" i="1" s="1"/>
  <c r="V284" i="1"/>
  <c r="W284" i="1" s="1"/>
  <c r="V285" i="1"/>
  <c r="W285" i="1" s="1"/>
  <c r="V286" i="1"/>
  <c r="W286" i="1" s="1"/>
  <c r="V287" i="1"/>
  <c r="W287" i="1" s="1"/>
  <c r="V288" i="1"/>
  <c r="X288" i="1" s="1"/>
  <c r="G288" i="1" s="1"/>
  <c r="V289" i="1"/>
  <c r="W289" i="1" s="1"/>
  <c r="V290" i="1"/>
  <c r="X290" i="1" s="1"/>
  <c r="V291" i="1"/>
  <c r="W291" i="1" s="1"/>
  <c r="V292" i="1"/>
  <c r="W292" i="1" s="1"/>
  <c r="V293" i="1"/>
  <c r="W293" i="1" s="1"/>
  <c r="V294" i="1"/>
  <c r="W294" i="1" s="1"/>
  <c r="V295" i="1"/>
  <c r="W295" i="1" s="1"/>
  <c r="V296" i="1"/>
  <c r="W296" i="1" s="1"/>
  <c r="V297" i="1"/>
  <c r="W297" i="1" s="1"/>
  <c r="V298" i="1"/>
  <c r="X298" i="1" s="1"/>
  <c r="V299" i="1"/>
  <c r="W299" i="1" s="1"/>
  <c r="V300" i="1"/>
  <c r="W300" i="1" s="1"/>
  <c r="V301" i="1"/>
  <c r="W301" i="1" s="1"/>
  <c r="V302" i="1"/>
  <c r="W302" i="1" s="1"/>
  <c r="V303" i="1"/>
  <c r="W303" i="1" s="1"/>
  <c r="V304" i="1"/>
  <c r="W304" i="1" s="1"/>
  <c r="V305" i="1"/>
  <c r="W305" i="1" s="1"/>
  <c r="V306" i="1"/>
  <c r="W306" i="1" s="1"/>
  <c r="V307" i="1"/>
  <c r="W307" i="1" s="1"/>
  <c r="V308" i="1"/>
  <c r="W308" i="1" s="1"/>
  <c r="V309" i="1"/>
  <c r="W309" i="1" s="1"/>
  <c r="V310" i="1"/>
  <c r="W310" i="1" s="1"/>
  <c r="V311" i="1"/>
  <c r="W311" i="1" s="1"/>
  <c r="V312" i="1"/>
  <c r="X312" i="1" s="1"/>
  <c r="G312" i="1" s="1"/>
  <c r="V313" i="1"/>
  <c r="W313" i="1" s="1"/>
  <c r="V314" i="1"/>
  <c r="W314" i="1" s="1"/>
  <c r="V315" i="1"/>
  <c r="W315" i="1" s="1"/>
  <c r="V316" i="1"/>
  <c r="W316" i="1" s="1"/>
  <c r="V317" i="1"/>
  <c r="W317" i="1" s="1"/>
  <c r="V318" i="1"/>
  <c r="W318" i="1" s="1"/>
  <c r="V319" i="1"/>
  <c r="W319" i="1" s="1"/>
  <c r="V320" i="1"/>
  <c r="W320" i="1" s="1"/>
  <c r="V321" i="1"/>
  <c r="W321" i="1" s="1"/>
  <c r="V322" i="1"/>
  <c r="W322" i="1" s="1"/>
  <c r="V323" i="1"/>
  <c r="W323" i="1" s="1"/>
  <c r="V324" i="1"/>
  <c r="W324" i="1" s="1"/>
  <c r="V325" i="1"/>
  <c r="W325" i="1" s="1"/>
  <c r="V326" i="1"/>
  <c r="W326" i="1" s="1"/>
  <c r="V327" i="1"/>
  <c r="W327" i="1" s="1"/>
  <c r="V328" i="1"/>
  <c r="W328" i="1" s="1"/>
  <c r="V329" i="1"/>
  <c r="W329" i="1" s="1"/>
  <c r="V330" i="1"/>
  <c r="W330" i="1" s="1"/>
  <c r="V331" i="1"/>
  <c r="W331" i="1" s="1"/>
  <c r="V332" i="1"/>
  <c r="W332" i="1" s="1"/>
  <c r="V333" i="1"/>
  <c r="W333" i="1" s="1"/>
  <c r="V334" i="1"/>
  <c r="W334" i="1" s="1"/>
  <c r="V335" i="1"/>
  <c r="W335" i="1" s="1"/>
  <c r="V336" i="1"/>
  <c r="W336" i="1" s="1"/>
  <c r="V337" i="1"/>
  <c r="W337" i="1" s="1"/>
  <c r="V338" i="1"/>
  <c r="W338" i="1" s="1"/>
  <c r="V339" i="1"/>
  <c r="W339" i="1" s="1"/>
  <c r="V340" i="1"/>
  <c r="W340" i="1" s="1"/>
  <c r="V341" i="1"/>
  <c r="W341" i="1" s="1"/>
  <c r="V342" i="1"/>
  <c r="W342" i="1" s="1"/>
  <c r="V343" i="1"/>
  <c r="W343" i="1" s="1"/>
  <c r="V344" i="1"/>
  <c r="X344" i="1" s="1"/>
  <c r="G344" i="1" s="1"/>
  <c r="V345" i="1"/>
  <c r="W345" i="1" s="1"/>
  <c r="V346" i="1"/>
  <c r="W346" i="1" s="1"/>
  <c r="V347" i="1"/>
  <c r="W347" i="1" s="1"/>
  <c r="V348" i="1"/>
  <c r="W348" i="1" s="1"/>
  <c r="V349" i="1"/>
  <c r="W349" i="1" s="1"/>
  <c r="V350" i="1"/>
  <c r="W350" i="1" s="1"/>
  <c r="V351" i="1"/>
  <c r="W351" i="1" s="1"/>
  <c r="V352" i="1"/>
  <c r="W352" i="1" s="1"/>
  <c r="V353" i="1"/>
  <c r="W353" i="1" s="1"/>
  <c r="V354" i="1"/>
  <c r="W354" i="1" s="1"/>
  <c r="V355" i="1"/>
  <c r="W355" i="1" s="1"/>
  <c r="V356" i="1"/>
  <c r="W356" i="1" s="1"/>
  <c r="V357" i="1"/>
  <c r="W357" i="1" s="1"/>
  <c r="V358" i="1"/>
  <c r="W358" i="1" s="1"/>
  <c r="V359" i="1"/>
  <c r="W359" i="1" s="1"/>
  <c r="V360" i="1"/>
  <c r="W360" i="1" s="1"/>
  <c r="V361" i="1"/>
  <c r="W361" i="1" s="1"/>
  <c r="V362" i="1"/>
  <c r="W362" i="1" s="1"/>
  <c r="V363" i="1"/>
  <c r="W363" i="1" s="1"/>
  <c r="V364" i="1"/>
  <c r="W364" i="1" s="1"/>
  <c r="V365" i="1"/>
  <c r="W365" i="1" s="1"/>
  <c r="V366" i="1"/>
  <c r="W366" i="1" s="1"/>
  <c r="V367" i="1"/>
  <c r="W367" i="1" s="1"/>
  <c r="V368" i="1"/>
  <c r="X368" i="1" s="1"/>
  <c r="G368" i="1" s="1"/>
  <c r="V2" i="1"/>
  <c r="W2" i="1" s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2" i="1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 s="1"/>
  <c r="F27" i="2" s="1"/>
  <c r="F28" i="2" s="1"/>
  <c r="F29" i="2" s="1"/>
  <c r="F30" i="2" s="1"/>
  <c r="X11" i="1"/>
  <c r="G11" i="1" s="1"/>
  <c r="X12" i="1"/>
  <c r="G12" i="1" s="1"/>
  <c r="X14" i="1"/>
  <c r="G14" i="1" s="1"/>
  <c r="X15" i="1"/>
  <c r="G15" i="1" s="1"/>
  <c r="X20" i="1"/>
  <c r="G20" i="1" s="1"/>
  <c r="X22" i="1"/>
  <c r="G22" i="1" s="1"/>
  <c r="X23" i="1"/>
  <c r="G23" i="1" s="1"/>
  <c r="X28" i="1"/>
  <c r="X30" i="1"/>
  <c r="G30" i="1" s="1"/>
  <c r="X31" i="1"/>
  <c r="G31" i="1" s="1"/>
  <c r="X35" i="1"/>
  <c r="X36" i="1"/>
  <c r="X38" i="1"/>
  <c r="X39" i="1"/>
  <c r="G39" i="1" s="1"/>
  <c r="X43" i="1"/>
  <c r="G43" i="1" s="1"/>
  <c r="X44" i="1"/>
  <c r="G44" i="1" s="1"/>
  <c r="X46" i="1"/>
  <c r="G46" i="1" s="1"/>
  <c r="X47" i="1"/>
  <c r="G47" i="1" s="1"/>
  <c r="X52" i="1"/>
  <c r="X54" i="1"/>
  <c r="G54" i="1" s="1"/>
  <c r="X55" i="1"/>
  <c r="G55" i="1" s="1"/>
  <c r="X56" i="1"/>
  <c r="G56" i="1" s="1"/>
  <c r="X60" i="1"/>
  <c r="G60" i="1" s="1"/>
  <c r="X62" i="1"/>
  <c r="G62" i="1" s="1"/>
  <c r="X63" i="1"/>
  <c r="G63" i="1" s="1"/>
  <c r="X67" i="1"/>
  <c r="G67" i="1" s="1"/>
  <c r="X68" i="1"/>
  <c r="G68" i="1" s="1"/>
  <c r="X70" i="1"/>
  <c r="G70" i="1" s="1"/>
  <c r="X71" i="1"/>
  <c r="G71" i="1" s="1"/>
  <c r="X75" i="1"/>
  <c r="G75" i="1" s="1"/>
  <c r="X76" i="1"/>
  <c r="X78" i="1"/>
  <c r="G78" i="1" s="1"/>
  <c r="X79" i="1"/>
  <c r="G79" i="1" s="1"/>
  <c r="X84" i="1"/>
  <c r="G84" i="1" s="1"/>
  <c r="X86" i="1"/>
  <c r="G86" i="1" s="1"/>
  <c r="X87" i="1"/>
  <c r="G87" i="1" s="1"/>
  <c r="X88" i="1"/>
  <c r="G88" i="1" s="1"/>
  <c r="X89" i="1"/>
  <c r="X92" i="1"/>
  <c r="G92" i="1" s="1"/>
  <c r="X94" i="1"/>
  <c r="G94" i="1" s="1"/>
  <c r="X95" i="1"/>
  <c r="G95" i="1" s="1"/>
  <c r="X99" i="1"/>
  <c r="G99" i="1" s="1"/>
  <c r="X100" i="1"/>
  <c r="X102" i="1"/>
  <c r="G102" i="1" s="1"/>
  <c r="X103" i="1"/>
  <c r="G103" i="1" s="1"/>
  <c r="X107" i="1"/>
  <c r="G107" i="1" s="1"/>
  <c r="X108" i="1"/>
  <c r="G108" i="1" s="1"/>
  <c r="X110" i="1"/>
  <c r="G110" i="1" s="1"/>
  <c r="X111" i="1"/>
  <c r="G111" i="1" s="1"/>
  <c r="X116" i="1"/>
  <c r="X118" i="1"/>
  <c r="G118" i="1" s="1"/>
  <c r="X119" i="1"/>
  <c r="G119" i="1" s="1"/>
  <c r="X120" i="1"/>
  <c r="G120" i="1" s="1"/>
  <c r="X124" i="1"/>
  <c r="X126" i="1"/>
  <c r="G126" i="1" s="1"/>
  <c r="X127" i="1"/>
  <c r="G127" i="1" s="1"/>
  <c r="X131" i="1"/>
  <c r="G131" i="1" s="1"/>
  <c r="X132" i="1"/>
  <c r="G132" i="1" s="1"/>
  <c r="X134" i="1"/>
  <c r="X135" i="1"/>
  <c r="G135" i="1" s="1"/>
  <c r="X139" i="1"/>
  <c r="G139" i="1" s="1"/>
  <c r="X140" i="1"/>
  <c r="X142" i="1"/>
  <c r="G142" i="1" s="1"/>
  <c r="X143" i="1"/>
  <c r="G143" i="1" s="1"/>
  <c r="X148" i="1"/>
  <c r="G148" i="1" s="1"/>
  <c r="X150" i="1"/>
  <c r="G150" i="1" s="1"/>
  <c r="X151" i="1"/>
  <c r="G151" i="1" s="1"/>
  <c r="X156" i="1"/>
  <c r="X158" i="1"/>
  <c r="G158" i="1" s="1"/>
  <c r="X159" i="1"/>
  <c r="G159" i="1" s="1"/>
  <c r="X163" i="1"/>
  <c r="G163" i="1" s="1"/>
  <c r="X164" i="1"/>
  <c r="G164" i="1" s="1"/>
  <c r="X167" i="1"/>
  <c r="G167" i="1" s="1"/>
  <c r="X169" i="1"/>
  <c r="X171" i="1"/>
  <c r="G171" i="1" s="1"/>
  <c r="X172" i="1"/>
  <c r="X174" i="1"/>
  <c r="G174" i="1" s="1"/>
  <c r="X175" i="1"/>
  <c r="G175" i="1" s="1"/>
  <c r="X180" i="1"/>
  <c r="G180" i="1" s="1"/>
  <c r="X182" i="1"/>
  <c r="G182" i="1" s="1"/>
  <c r="X183" i="1"/>
  <c r="G183" i="1" s="1"/>
  <c r="X188" i="1"/>
  <c r="X191" i="1"/>
  <c r="G191" i="1" s="1"/>
  <c r="X196" i="1"/>
  <c r="X199" i="1"/>
  <c r="G199" i="1" s="1"/>
  <c r="X201" i="1"/>
  <c r="G201" i="1" s="1"/>
  <c r="X203" i="1"/>
  <c r="G203" i="1" s="1"/>
  <c r="X204" i="1"/>
  <c r="G204" i="1" s="1"/>
  <c r="X207" i="1"/>
  <c r="G207" i="1" s="1"/>
  <c r="X212" i="1"/>
  <c r="X215" i="1"/>
  <c r="G215" i="1" s="1"/>
  <c r="X217" i="1"/>
  <c r="X219" i="1"/>
  <c r="G219" i="1" s="1"/>
  <c r="X220" i="1"/>
  <c r="G220" i="1" s="1"/>
  <c r="X222" i="1"/>
  <c r="G222" i="1" s="1"/>
  <c r="X223" i="1"/>
  <c r="G223" i="1" s="1"/>
  <c r="X231" i="1"/>
  <c r="G231" i="1" s="1"/>
  <c r="X236" i="1"/>
  <c r="X238" i="1"/>
  <c r="G238" i="1" s="1"/>
  <c r="X239" i="1"/>
  <c r="G239" i="1" s="1"/>
  <c r="X240" i="1"/>
  <c r="X247" i="1"/>
  <c r="G247" i="1" s="1"/>
  <c r="X255" i="1"/>
  <c r="G255" i="1" s="1"/>
  <c r="X260" i="1"/>
  <c r="G260" i="1" s="1"/>
  <c r="X263" i="1"/>
  <c r="X264" i="1"/>
  <c r="G264" i="1" s="1"/>
  <c r="X265" i="1"/>
  <c r="G265" i="1" s="1"/>
  <c r="X267" i="1"/>
  <c r="G267" i="1" s="1"/>
  <c r="X271" i="1"/>
  <c r="G271" i="1" s="1"/>
  <c r="X276" i="1"/>
  <c r="G276" i="1" s="1"/>
  <c r="X279" i="1"/>
  <c r="G279" i="1" s="1"/>
  <c r="X283" i="1"/>
  <c r="G283" i="1" s="1"/>
  <c r="X286" i="1"/>
  <c r="G286" i="1" s="1"/>
  <c r="X287" i="1"/>
  <c r="G287" i="1" s="1"/>
  <c r="X292" i="1"/>
  <c r="X295" i="1"/>
  <c r="G295" i="1" s="1"/>
  <c r="X297" i="1"/>
  <c r="X300" i="1"/>
  <c r="G300" i="1" s="1"/>
  <c r="X302" i="1"/>
  <c r="G302" i="1" s="1"/>
  <c r="X303" i="1"/>
  <c r="G303" i="1" s="1"/>
  <c r="X304" i="1"/>
  <c r="X311" i="1"/>
  <c r="G311" i="1" s="1"/>
  <c r="X319" i="1"/>
  <c r="G319" i="1" s="1"/>
  <c r="X324" i="1"/>
  <c r="X325" i="1"/>
  <c r="G325" i="1" s="1"/>
  <c r="X327" i="1"/>
  <c r="G327" i="1" s="1"/>
  <c r="X328" i="1"/>
  <c r="G328" i="1" s="1"/>
  <c r="X335" i="1"/>
  <c r="X340" i="1"/>
  <c r="G340" i="1" s="1"/>
  <c r="X341" i="1"/>
  <c r="G341" i="1" s="1"/>
  <c r="X343" i="1"/>
  <c r="G343" i="1" s="1"/>
  <c r="X349" i="1"/>
  <c r="G349" i="1" s="1"/>
  <c r="X351" i="1"/>
  <c r="G351" i="1" s="1"/>
  <c r="X352" i="1"/>
  <c r="G352" i="1" s="1"/>
  <c r="X353" i="1"/>
  <c r="G353" i="1" s="1"/>
  <c r="X359" i="1"/>
  <c r="G359" i="1" s="1"/>
  <c r="X360" i="1"/>
  <c r="G360" i="1" s="1"/>
  <c r="X361" i="1"/>
  <c r="G361" i="1" s="1"/>
  <c r="X367" i="1"/>
  <c r="G367" i="1" s="1"/>
  <c r="G124" i="1"/>
  <c r="G140" i="1"/>
  <c r="G156" i="1"/>
  <c r="G172" i="1"/>
  <c r="G188" i="1"/>
  <c r="G236" i="1"/>
  <c r="G292" i="1"/>
  <c r="G304" i="1"/>
  <c r="G28" i="1"/>
  <c r="G35" i="1"/>
  <c r="G36" i="1"/>
  <c r="G38" i="1"/>
  <c r="G52" i="1"/>
  <c r="G76" i="1"/>
  <c r="G100" i="1"/>
  <c r="G116" i="1"/>
  <c r="G134" i="1"/>
  <c r="G196" i="1"/>
  <c r="G212" i="1"/>
  <c r="G240" i="1"/>
  <c r="G324" i="1"/>
  <c r="G8" i="2" l="1"/>
  <c r="H9" i="2"/>
  <c r="G6" i="2"/>
  <c r="H8" i="2"/>
  <c r="H6" i="2"/>
  <c r="W50" i="1"/>
  <c r="W290" i="1"/>
  <c r="W210" i="1"/>
  <c r="W90" i="1"/>
  <c r="W34" i="1"/>
  <c r="W368" i="1"/>
  <c r="W344" i="1"/>
  <c r="W312" i="1"/>
  <c r="W288" i="1"/>
  <c r="W248" i="1"/>
  <c r="W208" i="1"/>
  <c r="W200" i="1"/>
  <c r="W192" i="1"/>
  <c r="W184" i="1"/>
  <c r="W160" i="1"/>
  <c r="W152" i="1"/>
  <c r="W136" i="1"/>
  <c r="W96" i="1"/>
  <c r="W72" i="1"/>
  <c r="W64" i="1"/>
  <c r="W32" i="1"/>
  <c r="W24" i="1"/>
  <c r="W274" i="1"/>
  <c r="W234" i="1"/>
  <c r="W194" i="1"/>
  <c r="W154" i="1"/>
  <c r="X266" i="1"/>
  <c r="G266" i="1" s="1"/>
  <c r="W298" i="1"/>
  <c r="W258" i="1"/>
  <c r="W218" i="1"/>
  <c r="W178" i="1"/>
  <c r="W138" i="1"/>
  <c r="W114" i="1"/>
  <c r="W74" i="1"/>
  <c r="W98" i="1"/>
  <c r="W26" i="1"/>
  <c r="W202" i="1"/>
  <c r="W162" i="1"/>
  <c r="W10" i="1"/>
  <c r="G22" i="2"/>
  <c r="G14" i="2"/>
  <c r="G21" i="2"/>
  <c r="G25" i="2"/>
  <c r="G29" i="2"/>
  <c r="G30" i="2"/>
  <c r="F31" i="2"/>
  <c r="F32" i="2" s="1"/>
  <c r="F33" i="2" s="1"/>
  <c r="H33" i="2" s="1"/>
  <c r="G13" i="2"/>
  <c r="G12" i="2"/>
  <c r="H14" i="2"/>
  <c r="H13" i="2"/>
  <c r="G27" i="2"/>
  <c r="H27" i="2"/>
  <c r="G19" i="2"/>
  <c r="H19" i="2"/>
  <c r="G11" i="2"/>
  <c r="H11" i="2"/>
  <c r="G26" i="2"/>
  <c r="G18" i="2"/>
  <c r="H30" i="2"/>
  <c r="H29" i="2"/>
  <c r="H26" i="2"/>
  <c r="G15" i="2"/>
  <c r="H15" i="2"/>
  <c r="H12" i="2"/>
  <c r="H25" i="2"/>
  <c r="H22" i="2"/>
  <c r="H21" i="2"/>
  <c r="G28" i="2"/>
  <c r="H28" i="2"/>
  <c r="G20" i="2"/>
  <c r="H20" i="2"/>
  <c r="H18" i="2"/>
  <c r="X256" i="1"/>
  <c r="G256" i="1" s="1"/>
  <c r="X242" i="1"/>
  <c r="G242" i="1" s="1"/>
  <c r="X128" i="1"/>
  <c r="G128" i="1" s="1"/>
  <c r="X320" i="1"/>
  <c r="G320" i="1" s="1"/>
  <c r="X306" i="1"/>
  <c r="G306" i="1" s="1"/>
  <c r="X146" i="1"/>
  <c r="G146" i="1" s="1"/>
  <c r="X18" i="1"/>
  <c r="X309" i="1"/>
  <c r="G309" i="1" s="1"/>
  <c r="X245" i="1"/>
  <c r="G245" i="1" s="1"/>
  <c r="X130" i="1"/>
  <c r="X356" i="1"/>
  <c r="G356" i="1" s="1"/>
  <c r="X293" i="1"/>
  <c r="G293" i="1" s="1"/>
  <c r="X228" i="1"/>
  <c r="G228" i="1" s="1"/>
  <c r="X112" i="1"/>
  <c r="G112" i="1" s="1"/>
  <c r="X348" i="1"/>
  <c r="G348" i="1" s="1"/>
  <c r="X284" i="1"/>
  <c r="G284" i="1" s="1"/>
  <c r="X82" i="1"/>
  <c r="X336" i="1"/>
  <c r="G336" i="1" s="1"/>
  <c r="X272" i="1"/>
  <c r="G272" i="1" s="1"/>
  <c r="X66" i="1"/>
  <c r="X332" i="1"/>
  <c r="G332" i="1" s="1"/>
  <c r="X268" i="1"/>
  <c r="G268" i="1" s="1"/>
  <c r="X322" i="1"/>
  <c r="G322" i="1" s="1"/>
  <c r="X176" i="1"/>
  <c r="G176" i="1" s="1"/>
  <c r="X48" i="1"/>
  <c r="G48" i="1" s="1"/>
  <c r="X347" i="1"/>
  <c r="G347" i="1" s="1"/>
  <c r="X315" i="1"/>
  <c r="G315" i="1" s="1"/>
  <c r="X235" i="1"/>
  <c r="G235" i="1" s="1"/>
  <c r="X227" i="1"/>
  <c r="G227" i="1" s="1"/>
  <c r="X155" i="1"/>
  <c r="G155" i="1" s="1"/>
  <c r="X147" i="1"/>
  <c r="G147" i="1" s="1"/>
  <c r="X123" i="1"/>
  <c r="G123" i="1" s="1"/>
  <c r="X115" i="1"/>
  <c r="G115" i="1" s="1"/>
  <c r="X91" i="1"/>
  <c r="G91" i="1" s="1"/>
  <c r="X83" i="1"/>
  <c r="G83" i="1" s="1"/>
  <c r="X59" i="1"/>
  <c r="G59" i="1" s="1"/>
  <c r="X51" i="1"/>
  <c r="G51" i="1" s="1"/>
  <c r="X27" i="1"/>
  <c r="G27" i="1" s="1"/>
  <c r="X19" i="1"/>
  <c r="G19" i="1" s="1"/>
  <c r="X345" i="1"/>
  <c r="G345" i="1" s="1"/>
  <c r="X243" i="1"/>
  <c r="G243" i="1" s="1"/>
  <c r="X187" i="1"/>
  <c r="G187" i="1" s="1"/>
  <c r="X313" i="1"/>
  <c r="G313" i="1" s="1"/>
  <c r="X249" i="1"/>
  <c r="G249" i="1" s="1"/>
  <c r="X225" i="1"/>
  <c r="G225" i="1" s="1"/>
  <c r="X193" i="1"/>
  <c r="G193" i="1" s="1"/>
  <c r="G169" i="1"/>
  <c r="X137" i="1"/>
  <c r="G137" i="1" s="1"/>
  <c r="X113" i="1"/>
  <c r="G113" i="1" s="1"/>
  <c r="G89" i="1"/>
  <c r="X49" i="1"/>
  <c r="G49" i="1" s="1"/>
  <c r="X17" i="1"/>
  <c r="G17" i="1" s="1"/>
  <c r="X281" i="1"/>
  <c r="G281" i="1" s="1"/>
  <c r="X3" i="1"/>
  <c r="H3" i="1" s="1"/>
  <c r="X339" i="1"/>
  <c r="G339" i="1" s="1"/>
  <c r="X307" i="1"/>
  <c r="G307" i="1" s="1"/>
  <c r="X275" i="1"/>
  <c r="G275" i="1" s="1"/>
  <c r="X211" i="1"/>
  <c r="G211" i="1" s="1"/>
  <c r="X337" i="1"/>
  <c r="G337" i="1" s="1"/>
  <c r="G297" i="1"/>
  <c r="X273" i="1"/>
  <c r="G273" i="1" s="1"/>
  <c r="X177" i="1"/>
  <c r="G177" i="1" s="1"/>
  <c r="X145" i="1"/>
  <c r="G145" i="1" s="1"/>
  <c r="X121" i="1"/>
  <c r="G121" i="1" s="1"/>
  <c r="X73" i="1"/>
  <c r="G73" i="1" s="1"/>
  <c r="X350" i="1"/>
  <c r="G350" i="1" s="1"/>
  <c r="X342" i="1"/>
  <c r="G342" i="1" s="1"/>
  <c r="X334" i="1"/>
  <c r="G334" i="1" s="1"/>
  <c r="X326" i="1"/>
  <c r="G326" i="1" s="1"/>
  <c r="X318" i="1"/>
  <c r="G318" i="1" s="1"/>
  <c r="X310" i="1"/>
  <c r="G310" i="1" s="1"/>
  <c r="X294" i="1"/>
  <c r="X278" i="1"/>
  <c r="G278" i="1" s="1"/>
  <c r="X270" i="1"/>
  <c r="G270" i="1" s="1"/>
  <c r="X262" i="1"/>
  <c r="G262" i="1" s="1"/>
  <c r="X254" i="1"/>
  <c r="X246" i="1"/>
  <c r="G246" i="1" s="1"/>
  <c r="X230" i="1"/>
  <c r="G230" i="1" s="1"/>
  <c r="X214" i="1"/>
  <c r="G214" i="1" s="1"/>
  <c r="X206" i="1"/>
  <c r="G206" i="1" s="1"/>
  <c r="X198" i="1"/>
  <c r="G198" i="1" s="1"/>
  <c r="X190" i="1"/>
  <c r="G190" i="1" s="1"/>
  <c r="X166" i="1"/>
  <c r="G166" i="1" s="1"/>
  <c r="X366" i="1"/>
  <c r="G366" i="1" s="1"/>
  <c r="X41" i="1"/>
  <c r="G41" i="1" s="1"/>
  <c r="X355" i="1"/>
  <c r="G355" i="1" s="1"/>
  <c r="X323" i="1"/>
  <c r="G323" i="1" s="1"/>
  <c r="X299" i="1"/>
  <c r="G299" i="1" s="1"/>
  <c r="X259" i="1"/>
  <c r="G259" i="1" s="1"/>
  <c r="X179" i="1"/>
  <c r="G179" i="1" s="1"/>
  <c r="X329" i="1"/>
  <c r="G329" i="1" s="1"/>
  <c r="X305" i="1"/>
  <c r="G305" i="1" s="1"/>
  <c r="X289" i="1"/>
  <c r="G289" i="1" s="1"/>
  <c r="X257" i="1"/>
  <c r="G257" i="1" s="1"/>
  <c r="X241" i="1"/>
  <c r="G241" i="1" s="1"/>
  <c r="G217" i="1"/>
  <c r="X185" i="1"/>
  <c r="G185" i="1" s="1"/>
  <c r="X161" i="1"/>
  <c r="G161" i="1" s="1"/>
  <c r="X129" i="1"/>
  <c r="G129" i="1" s="1"/>
  <c r="X97" i="1"/>
  <c r="G97" i="1" s="1"/>
  <c r="X65" i="1"/>
  <c r="G65" i="1" s="1"/>
  <c r="X153" i="1"/>
  <c r="G153" i="1" s="1"/>
  <c r="X358" i="1"/>
  <c r="G358" i="1" s="1"/>
  <c r="X25" i="1"/>
  <c r="G25" i="1" s="1"/>
  <c r="X363" i="1"/>
  <c r="G363" i="1" s="1"/>
  <c r="X331" i="1"/>
  <c r="G331" i="1" s="1"/>
  <c r="X291" i="1"/>
  <c r="G291" i="1" s="1"/>
  <c r="X251" i="1"/>
  <c r="G251" i="1" s="1"/>
  <c r="X195" i="1"/>
  <c r="G195" i="1" s="1"/>
  <c r="X321" i="1"/>
  <c r="G321" i="1" s="1"/>
  <c r="X209" i="1"/>
  <c r="G209" i="1" s="1"/>
  <c r="X81" i="1"/>
  <c r="G81" i="1" s="1"/>
  <c r="X57" i="1"/>
  <c r="G57" i="1" s="1"/>
  <c r="X33" i="1"/>
  <c r="G33" i="1" s="1"/>
  <c r="X9" i="1"/>
  <c r="H9" i="1" s="1"/>
  <c r="X233" i="1"/>
  <c r="G233" i="1" s="1"/>
  <c r="X105" i="1"/>
  <c r="G105" i="1" s="1"/>
  <c r="X357" i="1"/>
  <c r="G357" i="1" s="1"/>
  <c r="X346" i="1"/>
  <c r="G346" i="1" s="1"/>
  <c r="X333" i="1"/>
  <c r="G333" i="1" s="1"/>
  <c r="X308" i="1"/>
  <c r="G308" i="1" s="1"/>
  <c r="X296" i="1"/>
  <c r="G296" i="1" s="1"/>
  <c r="X282" i="1"/>
  <c r="G282" i="1" s="1"/>
  <c r="X269" i="1"/>
  <c r="G269" i="1" s="1"/>
  <c r="X244" i="1"/>
  <c r="G244" i="1" s="1"/>
  <c r="X232" i="1"/>
  <c r="G232" i="1" s="1"/>
  <c r="X216" i="1"/>
  <c r="G216" i="1" s="1"/>
  <c r="X170" i="1"/>
  <c r="G170" i="1" s="1"/>
  <c r="X106" i="1"/>
  <c r="G106" i="1" s="1"/>
  <c r="X42" i="1"/>
  <c r="G42" i="1" s="1"/>
  <c r="X365" i="1"/>
  <c r="G365" i="1" s="1"/>
  <c r="X354" i="1"/>
  <c r="G354" i="1" s="1"/>
  <c r="X330" i="1"/>
  <c r="G330" i="1" s="1"/>
  <c r="X317" i="1"/>
  <c r="G317" i="1" s="1"/>
  <c r="X280" i="1"/>
  <c r="G280" i="1" s="1"/>
  <c r="X253" i="1"/>
  <c r="G253" i="1" s="1"/>
  <c r="X226" i="1"/>
  <c r="G226" i="1" s="1"/>
  <c r="X186" i="1"/>
  <c r="G186" i="1" s="1"/>
  <c r="X168" i="1"/>
  <c r="G168" i="1" s="1"/>
  <c r="X122" i="1"/>
  <c r="G122" i="1" s="1"/>
  <c r="X104" i="1"/>
  <c r="G104" i="1" s="1"/>
  <c r="X58" i="1"/>
  <c r="G58" i="1" s="1"/>
  <c r="X40" i="1"/>
  <c r="G40" i="1" s="1"/>
  <c r="X8" i="1"/>
  <c r="H8" i="1" s="1"/>
  <c r="X364" i="1"/>
  <c r="G364" i="1" s="1"/>
  <c r="X316" i="1"/>
  <c r="G316" i="1" s="1"/>
  <c r="X277" i="1"/>
  <c r="G277" i="1" s="1"/>
  <c r="X252" i="1"/>
  <c r="G252" i="1" s="1"/>
  <c r="X144" i="1"/>
  <c r="G144" i="1" s="1"/>
  <c r="X80" i="1"/>
  <c r="G80" i="1" s="1"/>
  <c r="X16" i="1"/>
  <c r="G16" i="1" s="1"/>
  <c r="X7" i="1"/>
  <c r="H7" i="1" s="1"/>
  <c r="X362" i="1"/>
  <c r="G362" i="1" s="1"/>
  <c r="X314" i="1"/>
  <c r="G314" i="1" s="1"/>
  <c r="X301" i="1"/>
  <c r="G301" i="1" s="1"/>
  <c r="X250" i="1"/>
  <c r="G250" i="1" s="1"/>
  <c r="X237" i="1"/>
  <c r="G237" i="1" s="1"/>
  <c r="X224" i="1"/>
  <c r="G224" i="1" s="1"/>
  <c r="X229" i="1"/>
  <c r="G229" i="1" s="1"/>
  <c r="X221" i="1"/>
  <c r="G221" i="1" s="1"/>
  <c r="X213" i="1"/>
  <c r="G213" i="1" s="1"/>
  <c r="X205" i="1"/>
  <c r="G205" i="1" s="1"/>
  <c r="X197" i="1"/>
  <c r="G197" i="1" s="1"/>
  <c r="X189" i="1"/>
  <c r="G189" i="1" s="1"/>
  <c r="X181" i="1"/>
  <c r="G181" i="1" s="1"/>
  <c r="X173" i="1"/>
  <c r="G173" i="1" s="1"/>
  <c r="X165" i="1"/>
  <c r="G165" i="1" s="1"/>
  <c r="X157" i="1"/>
  <c r="G157" i="1" s="1"/>
  <c r="X149" i="1"/>
  <c r="G149" i="1" s="1"/>
  <c r="X141" i="1"/>
  <c r="G141" i="1" s="1"/>
  <c r="X133" i="1"/>
  <c r="G133" i="1" s="1"/>
  <c r="X125" i="1"/>
  <c r="G125" i="1" s="1"/>
  <c r="X117" i="1"/>
  <c r="G117" i="1" s="1"/>
  <c r="X109" i="1"/>
  <c r="G109" i="1" s="1"/>
  <c r="X101" i="1"/>
  <c r="G101" i="1" s="1"/>
  <c r="X93" i="1"/>
  <c r="G93" i="1" s="1"/>
  <c r="X85" i="1"/>
  <c r="G85" i="1" s="1"/>
  <c r="X77" i="1"/>
  <c r="G77" i="1" s="1"/>
  <c r="X69" i="1"/>
  <c r="G69" i="1" s="1"/>
  <c r="X61" i="1"/>
  <c r="G61" i="1" s="1"/>
  <c r="X53" i="1"/>
  <c r="G53" i="1" s="1"/>
  <c r="X45" i="1"/>
  <c r="G45" i="1" s="1"/>
  <c r="X37" i="1"/>
  <c r="G37" i="1" s="1"/>
  <c r="X29" i="1"/>
  <c r="G29" i="1" s="1"/>
  <c r="X21" i="1"/>
  <c r="G21" i="1" s="1"/>
  <c r="X13" i="1"/>
  <c r="G13" i="1" s="1"/>
  <c r="X5" i="1"/>
  <c r="H5" i="1" s="1"/>
  <c r="X6" i="1"/>
  <c r="H6" i="1" s="1"/>
  <c r="X338" i="1"/>
  <c r="G338" i="1" s="1"/>
  <c r="X261" i="1"/>
  <c r="G261" i="1" s="1"/>
  <c r="X4" i="1"/>
  <c r="H4" i="1" s="1"/>
  <c r="X285" i="1"/>
  <c r="G285" i="1" s="1"/>
  <c r="G10" i="1"/>
  <c r="G294" i="1"/>
  <c r="G254" i="1"/>
  <c r="G290" i="1"/>
  <c r="G234" i="1"/>
  <c r="G218" i="1"/>
  <c r="G202" i="1"/>
  <c r="G154" i="1"/>
  <c r="G263" i="1"/>
  <c r="G138" i="1"/>
  <c r="G130" i="1"/>
  <c r="G114" i="1"/>
  <c r="G98" i="1"/>
  <c r="G90" i="1"/>
  <c r="G82" i="1"/>
  <c r="G74" i="1"/>
  <c r="G66" i="1"/>
  <c r="G50" i="1"/>
  <c r="G34" i="1"/>
  <c r="G26" i="1"/>
  <c r="G18" i="1"/>
  <c r="G274" i="1"/>
  <c r="G335" i="1"/>
  <c r="G298" i="1"/>
  <c r="G258" i="1"/>
  <c r="G210" i="1"/>
  <c r="G194" i="1"/>
  <c r="G178" i="1"/>
  <c r="G162" i="1"/>
  <c r="T2" i="1"/>
  <c r="H32" i="2" l="1"/>
  <c r="G32" i="2"/>
  <c r="H31" i="2"/>
  <c r="G31" i="2"/>
  <c r="G33" i="2"/>
  <c r="F34" i="2"/>
  <c r="F35" i="2" l="1"/>
  <c r="G34" i="2"/>
  <c r="H34" i="2"/>
  <c r="F36" i="2" l="1"/>
  <c r="G35" i="2"/>
  <c r="H35" i="2"/>
  <c r="F37" i="2" l="1"/>
  <c r="G36" i="2"/>
  <c r="H36" i="2"/>
  <c r="G37" i="2" l="1"/>
  <c r="F38" i="2"/>
  <c r="H37" i="2"/>
  <c r="F39" i="2" l="1"/>
  <c r="G38" i="2"/>
  <c r="H38" i="2"/>
  <c r="F40" i="2" l="1"/>
  <c r="H39" i="2"/>
  <c r="G39" i="2"/>
  <c r="F41" i="2" l="1"/>
  <c r="G40" i="2"/>
  <c r="H40" i="2"/>
  <c r="G41" i="2" l="1"/>
  <c r="F42" i="2"/>
  <c r="H41" i="2"/>
  <c r="F43" i="2" l="1"/>
  <c r="G42" i="2"/>
  <c r="H42" i="2"/>
  <c r="F44" i="2" l="1"/>
  <c r="G43" i="2"/>
  <c r="H43" i="2"/>
  <c r="F45" i="2" l="1"/>
  <c r="G44" i="2"/>
  <c r="H44" i="2"/>
  <c r="F46" i="2" l="1"/>
  <c r="G45" i="2"/>
  <c r="H45" i="2"/>
  <c r="F47" i="2" l="1"/>
  <c r="G46" i="2"/>
  <c r="H46" i="2"/>
  <c r="F48" i="2" l="1"/>
  <c r="G47" i="2"/>
  <c r="H47" i="2"/>
  <c r="F49" i="2" l="1"/>
  <c r="G48" i="2"/>
  <c r="H48" i="2"/>
  <c r="G49" i="2" l="1"/>
  <c r="F50" i="2"/>
  <c r="H49" i="2"/>
  <c r="F51" i="2" l="1"/>
  <c r="H50" i="2"/>
  <c r="G50" i="2"/>
  <c r="F52" i="2" l="1"/>
  <c r="H51" i="2"/>
  <c r="G51" i="2"/>
  <c r="F53" i="2" l="1"/>
  <c r="G52" i="2"/>
  <c r="H52" i="2"/>
  <c r="G53" i="2" l="1"/>
  <c r="F54" i="2"/>
  <c r="H53" i="2"/>
  <c r="G54" i="2" l="1"/>
  <c r="F55" i="2"/>
  <c r="H54" i="2"/>
  <c r="F56" i="2" l="1"/>
  <c r="G55" i="2"/>
  <c r="H55" i="2"/>
  <c r="F57" i="2" l="1"/>
  <c r="H56" i="2"/>
  <c r="G56" i="2"/>
  <c r="G57" i="2" l="1"/>
  <c r="F58" i="2"/>
  <c r="H57" i="2"/>
  <c r="F59" i="2" l="1"/>
  <c r="G58" i="2"/>
  <c r="H58" i="2"/>
  <c r="F60" i="2" l="1"/>
  <c r="G59" i="2"/>
  <c r="H59" i="2"/>
  <c r="F61" i="2" l="1"/>
  <c r="G60" i="2"/>
  <c r="H60" i="2"/>
  <c r="F62" i="2" l="1"/>
  <c r="G61" i="2"/>
  <c r="H61" i="2"/>
  <c r="F63" i="2" l="1"/>
  <c r="G62" i="2"/>
  <c r="H62" i="2"/>
  <c r="F64" i="2" l="1"/>
  <c r="G63" i="2"/>
  <c r="H63" i="2"/>
  <c r="F65" i="2" l="1"/>
  <c r="G64" i="2"/>
  <c r="H64" i="2"/>
  <c r="G65" i="2" l="1"/>
  <c r="F66" i="2"/>
  <c r="H65" i="2"/>
  <c r="F67" i="2" l="1"/>
  <c r="H66" i="2"/>
  <c r="G66" i="2"/>
  <c r="F68" i="2" l="1"/>
  <c r="G67" i="2"/>
  <c r="H67" i="2"/>
  <c r="F69" i="2" l="1"/>
  <c r="G68" i="2"/>
  <c r="H68" i="2"/>
  <c r="F70" i="2" l="1"/>
  <c r="G69" i="2"/>
  <c r="H69" i="2"/>
  <c r="F71" i="2" l="1"/>
  <c r="G70" i="2"/>
  <c r="H70" i="2"/>
  <c r="F72" i="2" l="1"/>
  <c r="H71" i="2"/>
  <c r="G71" i="2"/>
  <c r="F73" i="2" l="1"/>
  <c r="G72" i="2"/>
  <c r="H72" i="2"/>
  <c r="G73" i="2" l="1"/>
  <c r="F74" i="2"/>
  <c r="H73" i="2"/>
  <c r="F75" i="2" l="1"/>
  <c r="G74" i="2"/>
  <c r="H74" i="2"/>
  <c r="F76" i="2" l="1"/>
  <c r="G75" i="2"/>
  <c r="H75" i="2"/>
  <c r="F77" i="2" l="1"/>
  <c r="G76" i="2"/>
  <c r="H76" i="2"/>
  <c r="G77" i="2" l="1"/>
  <c r="F78" i="2"/>
  <c r="H77" i="2"/>
  <c r="F79" i="2" l="1"/>
  <c r="G78" i="2"/>
  <c r="H78" i="2"/>
  <c r="F80" i="2" l="1"/>
  <c r="G79" i="2"/>
  <c r="H79" i="2"/>
  <c r="F81" i="2" l="1"/>
  <c r="G80" i="2"/>
  <c r="H80" i="2"/>
  <c r="G81" i="2" l="1"/>
  <c r="F82" i="2"/>
  <c r="H81" i="2"/>
  <c r="F83" i="2" l="1"/>
  <c r="H82" i="2"/>
  <c r="G82" i="2"/>
  <c r="F84" i="2" l="1"/>
  <c r="H83" i="2"/>
  <c r="G83" i="2"/>
  <c r="F85" i="2" l="1"/>
  <c r="G84" i="2"/>
  <c r="H84" i="2"/>
  <c r="G85" i="2" l="1"/>
  <c r="F86" i="2"/>
  <c r="H85" i="2"/>
  <c r="F87" i="2" l="1"/>
  <c r="G86" i="2"/>
  <c r="H86" i="2"/>
  <c r="F88" i="2" l="1"/>
  <c r="G87" i="2"/>
  <c r="H87" i="2"/>
  <c r="F89" i="2" l="1"/>
  <c r="H88" i="2"/>
  <c r="G88" i="2"/>
  <c r="F90" i="2" l="1"/>
  <c r="G89" i="2"/>
  <c r="H89" i="2"/>
  <c r="F91" i="2" l="1"/>
  <c r="G90" i="2"/>
  <c r="H90" i="2"/>
  <c r="F92" i="2" l="1"/>
  <c r="G91" i="2"/>
  <c r="H91" i="2"/>
  <c r="F93" i="2" l="1"/>
  <c r="G92" i="2"/>
  <c r="H92" i="2"/>
  <c r="F94" i="2" l="1"/>
  <c r="G93" i="2"/>
  <c r="H93" i="2"/>
  <c r="G94" i="2" l="1"/>
  <c r="F95" i="2"/>
  <c r="H94" i="2"/>
  <c r="F96" i="2" l="1"/>
  <c r="G95" i="2"/>
  <c r="H95" i="2"/>
  <c r="F97" i="2" l="1"/>
  <c r="G96" i="2"/>
  <c r="H96" i="2"/>
  <c r="G97" i="2" l="1"/>
  <c r="F98" i="2"/>
  <c r="H97" i="2"/>
  <c r="F99" i="2" l="1"/>
  <c r="G98" i="2"/>
  <c r="H98" i="2"/>
  <c r="F100" i="2" l="1"/>
  <c r="G99" i="2"/>
  <c r="H99" i="2"/>
  <c r="F101" i="2" l="1"/>
  <c r="G100" i="2"/>
  <c r="H100" i="2"/>
  <c r="G101" i="2" l="1"/>
  <c r="F102" i="2"/>
  <c r="H101" i="2"/>
  <c r="F103" i="2" l="1"/>
  <c r="G102" i="2"/>
  <c r="H102" i="2"/>
  <c r="H103" i="2" l="1"/>
  <c r="F104" i="2"/>
  <c r="G103" i="2"/>
  <c r="F105" i="2" l="1"/>
  <c r="G104" i="2"/>
  <c r="H104" i="2"/>
  <c r="G105" i="2" l="1"/>
  <c r="F106" i="2"/>
  <c r="H105" i="2"/>
  <c r="F107" i="2" l="1"/>
  <c r="G106" i="2"/>
  <c r="H106" i="2"/>
  <c r="F108" i="2" l="1"/>
  <c r="G107" i="2"/>
  <c r="H107" i="2"/>
  <c r="F109" i="2" l="1"/>
  <c r="G108" i="2"/>
  <c r="H108" i="2"/>
  <c r="F110" i="2" l="1"/>
  <c r="G109" i="2"/>
  <c r="H109" i="2"/>
  <c r="F111" i="2" l="1"/>
  <c r="G110" i="2"/>
  <c r="H110" i="2"/>
  <c r="F112" i="2" l="1"/>
  <c r="H111" i="2"/>
  <c r="G111" i="2"/>
  <c r="F113" i="2" l="1"/>
  <c r="G112" i="2"/>
  <c r="H112" i="2"/>
  <c r="G113" i="2" l="1"/>
  <c r="F114" i="2"/>
  <c r="H113" i="2"/>
  <c r="F115" i="2" l="1"/>
  <c r="H114" i="2"/>
  <c r="G114" i="2"/>
  <c r="F116" i="2" l="1"/>
  <c r="G115" i="2"/>
  <c r="H115" i="2"/>
  <c r="F117" i="2" l="1"/>
  <c r="G116" i="2"/>
  <c r="H116" i="2"/>
  <c r="G117" i="2" l="1"/>
  <c r="F118" i="2"/>
  <c r="H117" i="2"/>
  <c r="G118" i="2" l="1"/>
  <c r="F119" i="2"/>
  <c r="H118" i="2"/>
  <c r="F120" i="2" l="1"/>
  <c r="H119" i="2"/>
  <c r="G119" i="2"/>
  <c r="F121" i="2" l="1"/>
  <c r="H120" i="2"/>
  <c r="G120" i="2"/>
  <c r="G121" i="2" l="1"/>
  <c r="F122" i="2"/>
  <c r="H121" i="2"/>
  <c r="F123" i="2" l="1"/>
  <c r="H122" i="2"/>
  <c r="G122" i="2"/>
  <c r="F124" i="2" l="1"/>
  <c r="H123" i="2"/>
  <c r="G123" i="2"/>
  <c r="F125" i="2" l="1"/>
  <c r="G124" i="2"/>
  <c r="H124" i="2"/>
  <c r="G125" i="2" l="1"/>
  <c r="F126" i="2"/>
  <c r="H125" i="2"/>
  <c r="F127" i="2" l="1"/>
  <c r="G126" i="2"/>
  <c r="H126" i="2"/>
  <c r="F128" i="2" l="1"/>
  <c r="H127" i="2"/>
  <c r="G127" i="2"/>
  <c r="F129" i="2" l="1"/>
  <c r="G128" i="2"/>
  <c r="H128" i="2"/>
  <c r="F130" i="2" l="1"/>
  <c r="G129" i="2"/>
  <c r="H129" i="2"/>
  <c r="F131" i="2" l="1"/>
  <c r="H130" i="2"/>
  <c r="G130" i="2"/>
  <c r="F132" i="2" l="1"/>
  <c r="G131" i="2"/>
  <c r="H131" i="2"/>
  <c r="F133" i="2" l="1"/>
  <c r="G132" i="2"/>
  <c r="H132" i="2"/>
  <c r="G133" i="2" l="1"/>
  <c r="F134" i="2"/>
  <c r="H133" i="2"/>
  <c r="G134" i="2" l="1"/>
  <c r="F135" i="2"/>
  <c r="H134" i="2"/>
  <c r="F136" i="2" l="1"/>
  <c r="H135" i="2"/>
  <c r="G135" i="2"/>
  <c r="F137" i="2" l="1"/>
  <c r="G136" i="2"/>
  <c r="H136" i="2"/>
  <c r="G137" i="2" l="1"/>
  <c r="F138" i="2"/>
  <c r="H137" i="2"/>
  <c r="F139" i="2" l="1"/>
  <c r="H138" i="2"/>
  <c r="G138" i="2"/>
  <c r="F140" i="2" l="1"/>
  <c r="G139" i="2"/>
  <c r="H139" i="2"/>
  <c r="F141" i="2" l="1"/>
  <c r="G140" i="2"/>
  <c r="H140" i="2"/>
  <c r="G141" i="2" l="1"/>
  <c r="F142" i="2"/>
  <c r="H141" i="2"/>
  <c r="F143" i="2" l="1"/>
  <c r="G142" i="2"/>
  <c r="H142" i="2"/>
  <c r="F144" i="2" l="1"/>
  <c r="G143" i="2"/>
  <c r="H143" i="2"/>
  <c r="F145" i="2" l="1"/>
  <c r="G144" i="2"/>
  <c r="H144" i="2"/>
  <c r="F146" i="2" l="1"/>
  <c r="G145" i="2"/>
  <c r="H145" i="2"/>
  <c r="F147" i="2" l="1"/>
  <c r="H146" i="2"/>
  <c r="G146" i="2"/>
  <c r="F148" i="2" l="1"/>
  <c r="G147" i="2"/>
  <c r="H147" i="2"/>
  <c r="F149" i="2" l="1"/>
  <c r="G148" i="2"/>
  <c r="H148" i="2"/>
  <c r="F150" i="2" l="1"/>
  <c r="G149" i="2"/>
  <c r="H149" i="2"/>
  <c r="G150" i="2" l="1"/>
  <c r="F151" i="2"/>
  <c r="H150" i="2"/>
  <c r="F152" i="2" l="1"/>
  <c r="G151" i="2"/>
  <c r="H151" i="2"/>
  <c r="F153" i="2" l="1"/>
  <c r="H152" i="2"/>
  <c r="G152" i="2"/>
  <c r="G153" i="2" l="1"/>
  <c r="F154" i="2"/>
  <c r="H153" i="2"/>
  <c r="F155" i="2" l="1"/>
  <c r="G154" i="2"/>
  <c r="H154" i="2"/>
  <c r="F156" i="2" l="1"/>
  <c r="G155" i="2"/>
  <c r="H155" i="2"/>
  <c r="F157" i="2" l="1"/>
  <c r="G156" i="2"/>
  <c r="H156" i="2"/>
  <c r="G157" i="2" l="1"/>
  <c r="F158" i="2"/>
  <c r="H157" i="2"/>
  <c r="F159" i="2" l="1"/>
  <c r="G158" i="2"/>
  <c r="H158" i="2"/>
  <c r="F160" i="2" l="1"/>
  <c r="H159" i="2"/>
  <c r="G159" i="2"/>
  <c r="F161" i="2" l="1"/>
  <c r="G160" i="2"/>
  <c r="H160" i="2"/>
  <c r="G161" i="2" l="1"/>
  <c r="F162" i="2"/>
  <c r="H161" i="2"/>
  <c r="F163" i="2" l="1"/>
  <c r="H162" i="2"/>
  <c r="G162" i="2"/>
  <c r="F164" i="2" l="1"/>
  <c r="H163" i="2"/>
  <c r="G163" i="2"/>
  <c r="F165" i="2" l="1"/>
  <c r="G164" i="2"/>
  <c r="H164" i="2"/>
  <c r="F166" i="2" l="1"/>
  <c r="G165" i="2"/>
  <c r="H165" i="2"/>
  <c r="F167" i="2" l="1"/>
  <c r="G166" i="2"/>
  <c r="H166" i="2"/>
  <c r="H167" i="2" l="1"/>
  <c r="F168" i="2"/>
  <c r="G167" i="2"/>
  <c r="F169" i="2" l="1"/>
  <c r="G168" i="2"/>
  <c r="H168" i="2"/>
  <c r="G169" i="2" l="1"/>
  <c r="F170" i="2"/>
  <c r="H169" i="2"/>
  <c r="F171" i="2" l="1"/>
  <c r="G170" i="2"/>
  <c r="H170" i="2"/>
  <c r="F172" i="2" l="1"/>
  <c r="G171" i="2"/>
  <c r="H171" i="2"/>
  <c r="F173" i="2" l="1"/>
  <c r="G172" i="2"/>
  <c r="H172" i="2"/>
  <c r="G173" i="2" l="1"/>
  <c r="F174" i="2"/>
  <c r="H173" i="2"/>
  <c r="F175" i="2" l="1"/>
  <c r="G174" i="2"/>
  <c r="H174" i="2"/>
  <c r="F176" i="2" l="1"/>
  <c r="H175" i="2"/>
  <c r="G175" i="2"/>
  <c r="F177" i="2" l="1"/>
  <c r="G176" i="2"/>
  <c r="H176" i="2"/>
  <c r="G177" i="2" l="1"/>
  <c r="F178" i="2"/>
  <c r="H177" i="2"/>
  <c r="F179" i="2" l="1"/>
  <c r="H178" i="2"/>
  <c r="G178" i="2"/>
  <c r="F180" i="2" l="1"/>
  <c r="H179" i="2"/>
  <c r="G179" i="2"/>
  <c r="F181" i="2" l="1"/>
  <c r="G180" i="2"/>
  <c r="H180" i="2"/>
  <c r="F182" i="2" l="1"/>
  <c r="G181" i="2"/>
  <c r="H181" i="2"/>
  <c r="F183" i="2" l="1"/>
  <c r="G182" i="2"/>
  <c r="H182" i="2"/>
  <c r="F184" i="2" l="1"/>
  <c r="H183" i="2"/>
  <c r="G183" i="2"/>
  <c r="F185" i="2" l="1"/>
  <c r="H184" i="2"/>
  <c r="G184" i="2"/>
  <c r="F186" i="2" l="1"/>
  <c r="G185" i="2"/>
  <c r="H185" i="2"/>
  <c r="F187" i="2" l="1"/>
  <c r="G186" i="2"/>
  <c r="H186" i="2"/>
  <c r="F188" i="2" l="1"/>
  <c r="H187" i="2"/>
  <c r="G187" i="2"/>
  <c r="F189" i="2" l="1"/>
  <c r="G188" i="2"/>
  <c r="H188" i="2"/>
  <c r="G189" i="2" l="1"/>
  <c r="F190" i="2"/>
  <c r="H189" i="2"/>
  <c r="G190" i="2" l="1"/>
  <c r="F191" i="2"/>
  <c r="H190" i="2"/>
  <c r="F192" i="2" l="1"/>
  <c r="G191" i="2"/>
  <c r="H191" i="2"/>
  <c r="F193" i="2" l="1"/>
  <c r="G192" i="2"/>
  <c r="H192" i="2"/>
  <c r="G193" i="2" l="1"/>
  <c r="F194" i="2"/>
  <c r="H193" i="2"/>
  <c r="F195" i="2" l="1"/>
  <c r="G194" i="2"/>
  <c r="H194" i="2"/>
  <c r="F196" i="2" l="1"/>
  <c r="G195" i="2"/>
  <c r="H195" i="2"/>
  <c r="F197" i="2" l="1"/>
  <c r="G196" i="2"/>
  <c r="H196" i="2"/>
  <c r="F198" i="2" l="1"/>
  <c r="G197" i="2"/>
  <c r="H197" i="2"/>
  <c r="F199" i="2" l="1"/>
  <c r="G198" i="2"/>
  <c r="H198" i="2"/>
  <c r="F200" i="2" l="1"/>
  <c r="G199" i="2"/>
  <c r="H199" i="2"/>
  <c r="F201" i="2" l="1"/>
  <c r="G200" i="2"/>
  <c r="H200" i="2"/>
  <c r="F202" i="2" l="1"/>
  <c r="G201" i="2"/>
  <c r="H201" i="2"/>
  <c r="F203" i="2" l="1"/>
  <c r="G202" i="2"/>
  <c r="H202" i="2"/>
  <c r="F204" i="2" l="1"/>
  <c r="H203" i="2"/>
  <c r="G203" i="2"/>
  <c r="F205" i="2" l="1"/>
  <c r="G204" i="2"/>
  <c r="H204" i="2"/>
  <c r="F206" i="2" l="1"/>
  <c r="G205" i="2"/>
  <c r="H205" i="2"/>
  <c r="F207" i="2" l="1"/>
  <c r="G206" i="2"/>
  <c r="H206" i="2"/>
  <c r="F208" i="2" l="1"/>
  <c r="G207" i="2"/>
  <c r="H207" i="2"/>
  <c r="F209" i="2" l="1"/>
  <c r="G208" i="2"/>
  <c r="H208" i="2"/>
  <c r="F210" i="2" l="1"/>
  <c r="G209" i="2"/>
  <c r="H209" i="2"/>
  <c r="F211" i="2" l="1"/>
  <c r="G210" i="2"/>
  <c r="H210" i="2"/>
  <c r="F212" i="2" l="1"/>
  <c r="G211" i="2"/>
  <c r="H211" i="2"/>
  <c r="F213" i="2" l="1"/>
  <c r="G212" i="2"/>
  <c r="H212" i="2"/>
  <c r="F214" i="2" l="1"/>
  <c r="G213" i="2"/>
  <c r="H213" i="2"/>
  <c r="G214" i="2" l="1"/>
  <c r="F215" i="2"/>
  <c r="H214" i="2"/>
  <c r="F216" i="2" l="1"/>
  <c r="G215" i="2"/>
  <c r="H215" i="2"/>
  <c r="F217" i="2" l="1"/>
  <c r="H216" i="2"/>
  <c r="G216" i="2"/>
  <c r="F218" i="2" l="1"/>
  <c r="G217" i="2"/>
  <c r="H217" i="2"/>
  <c r="F219" i="2" l="1"/>
  <c r="G218" i="2"/>
  <c r="H218" i="2"/>
  <c r="F220" i="2" l="1"/>
  <c r="H219" i="2"/>
  <c r="G219" i="2"/>
  <c r="F221" i="2" l="1"/>
  <c r="G220" i="2"/>
  <c r="H220" i="2"/>
  <c r="G221" i="2" l="1"/>
  <c r="F222" i="2"/>
  <c r="H221" i="2"/>
  <c r="F223" i="2" l="1"/>
  <c r="G222" i="2"/>
  <c r="H222" i="2"/>
  <c r="F224" i="2" l="1"/>
  <c r="G223" i="2"/>
  <c r="H223" i="2"/>
  <c r="F225" i="2" l="1"/>
  <c r="G224" i="2"/>
  <c r="H224" i="2"/>
  <c r="F226" i="2" l="1"/>
  <c r="G225" i="2"/>
  <c r="H225" i="2"/>
  <c r="F227" i="2" l="1"/>
  <c r="G226" i="2"/>
  <c r="H226" i="2"/>
  <c r="F228" i="2" l="1"/>
  <c r="G227" i="2"/>
  <c r="H227" i="2"/>
  <c r="F229" i="2" l="1"/>
  <c r="G228" i="2"/>
  <c r="H228" i="2"/>
  <c r="F230" i="2" l="1"/>
  <c r="G229" i="2"/>
  <c r="H229" i="2"/>
  <c r="F231" i="2" l="1"/>
  <c r="G230" i="2"/>
  <c r="H230" i="2"/>
  <c r="F232" i="2" l="1"/>
  <c r="G231" i="2"/>
  <c r="H231" i="2"/>
  <c r="F233" i="2" l="1"/>
  <c r="G232" i="2"/>
  <c r="H232" i="2"/>
  <c r="F234" i="2" l="1"/>
  <c r="G233" i="2"/>
  <c r="H233" i="2"/>
  <c r="F235" i="2" l="1"/>
  <c r="G234" i="2"/>
  <c r="H234" i="2"/>
  <c r="F236" i="2" l="1"/>
  <c r="G235" i="2"/>
  <c r="H235" i="2"/>
  <c r="F237" i="2" l="1"/>
  <c r="G236" i="2"/>
  <c r="H236" i="2"/>
  <c r="F238" i="2" l="1"/>
  <c r="G237" i="2"/>
  <c r="H237" i="2"/>
  <c r="F239" i="2" l="1"/>
  <c r="G238" i="2"/>
  <c r="H238" i="2"/>
  <c r="F240" i="2" l="1"/>
  <c r="H239" i="2"/>
  <c r="G239" i="2"/>
  <c r="F241" i="2" l="1"/>
  <c r="G240" i="2"/>
  <c r="H240" i="2"/>
  <c r="F242" i="2" l="1"/>
  <c r="H241" i="2"/>
  <c r="G241" i="2"/>
  <c r="F243" i="2" l="1"/>
  <c r="H242" i="2"/>
  <c r="G242" i="2"/>
  <c r="F244" i="2" l="1"/>
  <c r="H243" i="2"/>
  <c r="G243" i="2"/>
  <c r="F245" i="2" l="1"/>
  <c r="G244" i="2"/>
  <c r="H244" i="2"/>
  <c r="F246" i="2" l="1"/>
  <c r="G245" i="2"/>
  <c r="H245" i="2"/>
  <c r="F247" i="2" l="1"/>
  <c r="G246" i="2"/>
  <c r="H246" i="2"/>
  <c r="F248" i="2" l="1"/>
  <c r="H247" i="2"/>
  <c r="G247" i="2"/>
  <c r="F249" i="2" l="1"/>
  <c r="H248" i="2"/>
  <c r="G248" i="2"/>
  <c r="F250" i="2" l="1"/>
  <c r="G249" i="2"/>
  <c r="H249" i="2"/>
  <c r="F251" i="2" l="1"/>
  <c r="G250" i="2"/>
  <c r="H250" i="2"/>
  <c r="F252" i="2" l="1"/>
  <c r="H251" i="2"/>
  <c r="G251" i="2"/>
  <c r="F253" i="2" l="1"/>
  <c r="G252" i="2"/>
  <c r="H252" i="2"/>
  <c r="G253" i="2" l="1"/>
  <c r="F254" i="2"/>
  <c r="H253" i="2"/>
  <c r="F255" i="2" l="1"/>
  <c r="G254" i="2"/>
  <c r="H254" i="2"/>
  <c r="F256" i="2" l="1"/>
  <c r="G255" i="2"/>
  <c r="H255" i="2"/>
  <c r="F257" i="2" l="1"/>
  <c r="G256" i="2"/>
  <c r="H256" i="2"/>
  <c r="F258" i="2" l="1"/>
  <c r="G257" i="2"/>
  <c r="H257" i="2"/>
  <c r="F259" i="2" l="1"/>
  <c r="G258" i="2"/>
  <c r="H258" i="2"/>
  <c r="F260" i="2" l="1"/>
  <c r="G259" i="2"/>
  <c r="H259" i="2"/>
  <c r="F261" i="2" l="1"/>
  <c r="G260" i="2"/>
  <c r="H260" i="2"/>
  <c r="G261" i="2" l="1"/>
  <c r="F262" i="2"/>
  <c r="H261" i="2"/>
  <c r="F263" i="2" l="1"/>
  <c r="G262" i="2"/>
  <c r="H262" i="2"/>
  <c r="F264" i="2" l="1"/>
  <c r="G263" i="2"/>
  <c r="H263" i="2"/>
  <c r="F265" i="2" l="1"/>
  <c r="G264" i="2"/>
  <c r="H264" i="2"/>
  <c r="F266" i="2" l="1"/>
  <c r="G265" i="2"/>
  <c r="H265" i="2"/>
  <c r="F267" i="2" l="1"/>
  <c r="G266" i="2"/>
  <c r="H266" i="2"/>
  <c r="F268" i="2" l="1"/>
  <c r="H267" i="2"/>
  <c r="G267" i="2"/>
  <c r="F269" i="2" l="1"/>
  <c r="G268" i="2"/>
  <c r="H268" i="2"/>
  <c r="F270" i="2" l="1"/>
  <c r="G269" i="2"/>
  <c r="H269" i="2"/>
  <c r="F271" i="2" l="1"/>
  <c r="G270" i="2"/>
  <c r="H270" i="2"/>
  <c r="F272" i="2" l="1"/>
  <c r="G271" i="2"/>
  <c r="H271" i="2"/>
  <c r="F273" i="2" l="1"/>
  <c r="G272" i="2"/>
  <c r="H272" i="2"/>
  <c r="F274" i="2" l="1"/>
  <c r="H273" i="2"/>
  <c r="G273" i="2"/>
  <c r="F275" i="2" l="1"/>
  <c r="G274" i="2"/>
  <c r="H274" i="2"/>
  <c r="F276" i="2" l="1"/>
  <c r="G275" i="2"/>
  <c r="H275" i="2"/>
  <c r="F277" i="2" l="1"/>
  <c r="G276" i="2"/>
  <c r="H276" i="2"/>
  <c r="G277" i="2" l="1"/>
  <c r="F278" i="2"/>
  <c r="H277" i="2"/>
  <c r="F279" i="2" l="1"/>
  <c r="G278" i="2"/>
  <c r="H278" i="2"/>
  <c r="F280" i="2" l="1"/>
  <c r="G279" i="2"/>
  <c r="H279" i="2"/>
  <c r="F281" i="2" l="1"/>
  <c r="H280" i="2"/>
  <c r="G280" i="2"/>
  <c r="F282" i="2" l="1"/>
  <c r="G281" i="2"/>
  <c r="H281" i="2"/>
  <c r="F283" i="2" l="1"/>
  <c r="G282" i="2"/>
  <c r="H282" i="2"/>
  <c r="F284" i="2" l="1"/>
  <c r="H283" i="2"/>
  <c r="G283" i="2"/>
  <c r="F285" i="2" l="1"/>
  <c r="H284" i="2"/>
  <c r="G284" i="2"/>
  <c r="F286" i="2" l="1"/>
  <c r="G285" i="2"/>
  <c r="H285" i="2"/>
  <c r="F287" i="2" l="1"/>
  <c r="G286" i="2"/>
  <c r="H286" i="2"/>
  <c r="F288" i="2" l="1"/>
  <c r="H287" i="2"/>
  <c r="G287" i="2"/>
  <c r="F289" i="2" l="1"/>
  <c r="G288" i="2"/>
  <c r="H288" i="2"/>
  <c r="H289" i="2" l="1"/>
  <c r="F290" i="2"/>
  <c r="G289" i="2"/>
  <c r="F291" i="2" l="1"/>
  <c r="H290" i="2"/>
  <c r="G290" i="2"/>
  <c r="F292" i="2" l="1"/>
  <c r="G291" i="2"/>
  <c r="H291" i="2"/>
  <c r="G292" i="2" l="1"/>
  <c r="F293" i="2"/>
  <c r="H292" i="2"/>
  <c r="G293" i="2" l="1"/>
  <c r="F294" i="2"/>
  <c r="H293" i="2"/>
  <c r="F295" i="2" l="1"/>
  <c r="G294" i="2"/>
  <c r="H294" i="2"/>
  <c r="F296" i="2" l="1"/>
  <c r="G295" i="2"/>
  <c r="H295" i="2"/>
  <c r="G296" i="2" l="1"/>
  <c r="F297" i="2"/>
  <c r="H296" i="2"/>
  <c r="F298" i="2" l="1"/>
  <c r="G297" i="2"/>
  <c r="H297" i="2"/>
  <c r="F299" i="2" l="1"/>
  <c r="G298" i="2"/>
  <c r="H298" i="2"/>
  <c r="F300" i="2" l="1"/>
  <c r="G299" i="2"/>
  <c r="H299" i="2"/>
  <c r="F301" i="2" l="1"/>
  <c r="H300" i="2"/>
  <c r="G300" i="2"/>
  <c r="F302" i="2" l="1"/>
  <c r="G301" i="2"/>
  <c r="H301" i="2"/>
  <c r="F303" i="2" l="1"/>
  <c r="G302" i="2"/>
  <c r="H302" i="2"/>
  <c r="F304" i="2" l="1"/>
  <c r="H303" i="2"/>
  <c r="G303" i="2"/>
  <c r="G304" i="2" l="1"/>
  <c r="F305" i="2"/>
  <c r="H304" i="2"/>
  <c r="H305" i="2" l="1"/>
  <c r="F306" i="2"/>
  <c r="G305" i="2"/>
  <c r="F307" i="2" l="1"/>
  <c r="H306" i="2"/>
  <c r="G306" i="2"/>
  <c r="F308" i="2" l="1"/>
  <c r="G307" i="2"/>
  <c r="H307" i="2"/>
  <c r="F309" i="2" l="1"/>
  <c r="G308" i="2"/>
  <c r="H308" i="2"/>
  <c r="F310" i="2" l="1"/>
  <c r="G309" i="2"/>
  <c r="H309" i="2"/>
  <c r="F311" i="2" l="1"/>
  <c r="G310" i="2"/>
  <c r="H310" i="2"/>
  <c r="F312" i="2" l="1"/>
  <c r="G311" i="2"/>
  <c r="H311" i="2"/>
  <c r="G312" i="2" l="1"/>
  <c r="F313" i="2"/>
  <c r="H312" i="2"/>
  <c r="F314" i="2" l="1"/>
  <c r="G313" i="2"/>
  <c r="H313" i="2"/>
  <c r="F315" i="2" l="1"/>
  <c r="H314" i="2"/>
  <c r="G314" i="2"/>
  <c r="F316" i="2" l="1"/>
  <c r="H315" i="2"/>
  <c r="G315" i="2"/>
  <c r="F317" i="2" l="1"/>
  <c r="G316" i="2"/>
  <c r="H316" i="2"/>
  <c r="F318" i="2" l="1"/>
  <c r="G317" i="2"/>
  <c r="H317" i="2"/>
  <c r="F319" i="2" l="1"/>
  <c r="G318" i="2"/>
  <c r="H318" i="2"/>
  <c r="H319" i="2" l="1"/>
  <c r="F320" i="2"/>
  <c r="G319" i="2"/>
  <c r="G320" i="2" l="1"/>
  <c r="F321" i="2"/>
  <c r="H320" i="2"/>
  <c r="F322" i="2" l="1"/>
  <c r="H321" i="2"/>
  <c r="G321" i="2"/>
  <c r="F323" i="2" l="1"/>
  <c r="G322" i="2"/>
  <c r="H322" i="2"/>
  <c r="F324" i="2" l="1"/>
  <c r="G323" i="2"/>
  <c r="H323" i="2"/>
  <c r="F325" i="2" l="1"/>
  <c r="G324" i="2"/>
  <c r="H324" i="2"/>
  <c r="G325" i="2" l="1"/>
  <c r="F326" i="2"/>
  <c r="H325" i="2"/>
  <c r="F327" i="2" l="1"/>
  <c r="G326" i="2"/>
  <c r="H326" i="2"/>
  <c r="F328" i="2" l="1"/>
  <c r="H327" i="2"/>
  <c r="G327" i="2"/>
  <c r="G328" i="2" l="1"/>
  <c r="F329" i="2"/>
  <c r="H328" i="2"/>
  <c r="F330" i="2" l="1"/>
  <c r="G329" i="2"/>
  <c r="H329" i="2"/>
  <c r="F331" i="2" l="1"/>
  <c r="H330" i="2"/>
  <c r="G330" i="2"/>
  <c r="F332" i="2" l="1"/>
  <c r="G331" i="2"/>
  <c r="H331" i="2"/>
  <c r="F333" i="2" l="1"/>
  <c r="G332" i="2"/>
  <c r="H332" i="2"/>
  <c r="F334" i="2" l="1"/>
  <c r="G333" i="2"/>
  <c r="H333" i="2"/>
  <c r="H334" i="2" l="1"/>
  <c r="F335" i="2"/>
  <c r="G334" i="2"/>
  <c r="F336" i="2" l="1"/>
  <c r="G335" i="2"/>
  <c r="H335" i="2"/>
  <c r="G336" i="2" l="1"/>
  <c r="F337" i="2"/>
  <c r="H336" i="2"/>
  <c r="F338" i="2" l="1"/>
  <c r="G337" i="2"/>
  <c r="H337" i="2"/>
  <c r="F339" i="2" l="1"/>
  <c r="H338" i="2"/>
  <c r="G338" i="2"/>
  <c r="F340" i="2" l="1"/>
  <c r="G339" i="2"/>
  <c r="H339" i="2"/>
  <c r="F341" i="2" l="1"/>
  <c r="G340" i="2"/>
  <c r="H340" i="2"/>
  <c r="F342" i="2" l="1"/>
  <c r="G341" i="2"/>
  <c r="H341" i="2"/>
  <c r="F343" i="2" l="1"/>
  <c r="G342" i="2"/>
  <c r="H342" i="2"/>
  <c r="F344" i="2" l="1"/>
  <c r="H343" i="2"/>
  <c r="G343" i="2"/>
  <c r="G344" i="2" l="1"/>
  <c r="F345" i="2"/>
  <c r="H344" i="2"/>
  <c r="F346" i="2" l="1"/>
  <c r="G345" i="2"/>
  <c r="H345" i="2"/>
  <c r="F347" i="2" l="1"/>
  <c r="G346" i="2"/>
  <c r="H346" i="2"/>
  <c r="F348" i="2" l="1"/>
  <c r="H347" i="2"/>
  <c r="G347" i="2"/>
  <c r="F349" i="2" l="1"/>
  <c r="H348" i="2"/>
  <c r="G348" i="2"/>
  <c r="F350" i="2" l="1"/>
  <c r="G349" i="2"/>
  <c r="H349" i="2"/>
  <c r="F351" i="2" l="1"/>
  <c r="G350" i="2"/>
  <c r="H350" i="2"/>
  <c r="F352" i="2" l="1"/>
  <c r="H351" i="2"/>
  <c r="G351" i="2"/>
  <c r="G352" i="2" l="1"/>
  <c r="F353" i="2"/>
  <c r="H352" i="2"/>
  <c r="F354" i="2" l="1"/>
  <c r="G353" i="2"/>
  <c r="H353" i="2"/>
  <c r="F355" i="2" l="1"/>
  <c r="G354" i="2"/>
  <c r="H354" i="2"/>
  <c r="F356" i="2" l="1"/>
  <c r="G355" i="2"/>
  <c r="H355" i="2"/>
  <c r="G356" i="2" l="1"/>
  <c r="F357" i="2"/>
  <c r="H356" i="2"/>
  <c r="G357" i="2" l="1"/>
  <c r="F358" i="2"/>
  <c r="H357" i="2"/>
  <c r="F359" i="2" l="1"/>
  <c r="G358" i="2"/>
  <c r="H358" i="2"/>
  <c r="F360" i="2" l="1"/>
  <c r="G359" i="2"/>
  <c r="H359" i="2"/>
  <c r="H360" i="2" l="1"/>
  <c r="G360" i="2"/>
  <c r="F361" i="2"/>
  <c r="F362" i="2" l="1"/>
  <c r="H361" i="2"/>
  <c r="G361" i="2"/>
  <c r="F363" i="2" l="1"/>
  <c r="H362" i="2"/>
  <c r="G362" i="2"/>
  <c r="F364" i="2" l="1"/>
  <c r="G363" i="2"/>
  <c r="H363" i="2"/>
  <c r="F365" i="2" l="1"/>
  <c r="G364" i="2"/>
  <c r="H364" i="2"/>
  <c r="F366" i="2" l="1"/>
  <c r="G365" i="2"/>
  <c r="H365" i="2"/>
  <c r="F367" i="2" l="1"/>
  <c r="G366" i="2"/>
  <c r="H366" i="2"/>
  <c r="F368" i="2" l="1"/>
  <c r="G367" i="2"/>
  <c r="H367" i="2"/>
  <c r="H4" i="2" l="1"/>
  <c r="G4" i="2"/>
  <c r="G5" i="2"/>
  <c r="H5" i="2"/>
  <c r="H10" i="2"/>
  <c r="G10" i="2"/>
  <c r="H17" i="2"/>
  <c r="G17" i="2"/>
  <c r="H24" i="2"/>
  <c r="G24" i="2"/>
  <c r="G368" i="2"/>
  <c r="H368" i="2"/>
  <c r="H16" i="2"/>
  <c r="G9" i="2"/>
  <c r="G16" i="2"/>
  <c r="H23" i="2"/>
  <c r="G23" i="2"/>
  <c r="X2" i="1"/>
  <c r="H2" i="1" s="1"/>
  <c r="G7" i="2"/>
  <c r="H2" i="2"/>
  <c r="G2" i="2"/>
  <c r="G3" i="2"/>
  <c r="H7" i="2"/>
  <c r="H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1FD5D6-6BE6-471B-B26E-5A6737F04876}" name="Query - exercise_data" description="Connection to the 'exercise_data' query in the workbook." type="100" refreshedVersion="8" minRefreshableVersion="5" refreshOnLoad="1" saveData="1">
    <extLst>
      <ext xmlns:x15="http://schemas.microsoft.com/office/spreadsheetml/2010/11/main" uri="{DE250136-89BD-433C-8126-D09CA5730AF9}">
        <x15:connection id="5b43eb41-2414-48e1-9ec5-b0cc3f259400"/>
      </ext>
    </extLst>
  </connection>
  <connection id="2" xr16:uid="{4B89FFE7-E59C-44AB-BF8D-8653006C6DA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B157336D-1122-4CB2-BC32-613AC78C2997}" name="WorksheetConnection_shoe_test.xlsm!exercise_data" type="102" refreshedVersion="8" minRefreshableVersion="5">
    <extLst>
      <ext xmlns:x15="http://schemas.microsoft.com/office/spreadsheetml/2010/11/main" uri="{DE250136-89BD-433C-8126-D09CA5730AF9}">
        <x15:connection id="exercise_data">
          <x15:rangePr sourceName="_xlcn.WorksheetConnection_shoe_test.xlsmexercise_data1"/>
        </x15:connection>
      </ext>
    </extLst>
  </connection>
</connections>
</file>

<file path=xl/sharedStrings.xml><?xml version="1.0" encoding="utf-8"?>
<sst xmlns="http://schemas.openxmlformats.org/spreadsheetml/2006/main" count="55" uniqueCount="43">
  <si>
    <t>total km</t>
  </si>
  <si>
    <t>n</t>
  </si>
  <si>
    <t>s2</t>
  </si>
  <si>
    <t>shoe</t>
  </si>
  <si>
    <t>letter</t>
  </si>
  <si>
    <t>date</t>
  </si>
  <si>
    <t>total time</t>
  </si>
  <si>
    <t>time values</t>
  </si>
  <si>
    <t>notes</t>
  </si>
  <si>
    <t>pace avg</t>
  </si>
  <si>
    <t>rpe</t>
  </si>
  <si>
    <t>distance</t>
  </si>
  <si>
    <t>pace calc</t>
  </si>
  <si>
    <t>pace format</t>
  </si>
  <si>
    <t>pace</t>
  </si>
  <si>
    <t>1:06:53</t>
  </si>
  <si>
    <t>0:32:23</t>
  </si>
  <si>
    <t>0:30:46</t>
  </si>
  <si>
    <t>very easy jog</t>
  </si>
  <si>
    <t>progressive easy run</t>
  </si>
  <si>
    <t>temp</t>
  </si>
  <si>
    <t>hr max</t>
  </si>
  <si>
    <t>hr avg</t>
  </si>
  <si>
    <t>time</t>
  </si>
  <si>
    <t>0:53:34</t>
  </si>
  <si>
    <t>0:57:27</t>
  </si>
  <si>
    <t>tempo run</t>
  </si>
  <si>
    <t>fartlek 2ks</t>
  </si>
  <si>
    <t>missclick</t>
  </si>
  <si>
    <t>shoes</t>
  </si>
  <si>
    <t>weekly</t>
  </si>
  <si>
    <t>Total</t>
  </si>
  <si>
    <t>week</t>
  </si>
  <si>
    <t>weekly distance</t>
  </si>
  <si>
    <t>weekly time</t>
  </si>
  <si>
    <t>..</t>
  </si>
  <si>
    <t>id</t>
  </si>
  <si>
    <t>first run back, easy</t>
  </si>
  <si>
    <t>hurt little less</t>
  </si>
  <si>
    <t>difficulty with other leg</t>
  </si>
  <si>
    <t>2k fast (4-4:15), 2k slow(5) leg hurts</t>
  </si>
  <si>
    <t>0:00:10</t>
  </si>
  <si>
    <t>0:02:01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</si>
</sst>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sz val="10"/>
      <color theme="1"/>
      <name val="Arial Unicode MS"/>
    </font>
    <font>
      <sz val="11"/>
      <color theme="1" tint="0.34998626667073579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2" tint="-0.49998474074526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 wrapText="1"/>
    </xf>
    <xf numFmtId="46" fontId="0" fillId="0" borderId="0" xfId="0" applyNumberFormat="1"/>
    <xf numFmtId="2" fontId="0" fillId="0" borderId="0" xfId="0" applyNumberFormat="1"/>
    <xf numFmtId="45" fontId="0" fillId="0" borderId="0" xfId="0" applyNumberFormat="1"/>
    <xf numFmtId="0" fontId="1" fillId="0" borderId="1" xfId="0" pivotButton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5" fontId="0" fillId="0" borderId="0" xfId="0" applyNumberFormat="1" applyAlignment="1">
      <alignment horizontal="right"/>
    </xf>
    <xf numFmtId="46" fontId="0" fillId="0" borderId="0" xfId="0" applyNumberFormat="1" applyAlignment="1">
      <alignment horizontal="right"/>
    </xf>
    <xf numFmtId="16" fontId="0" fillId="0" borderId="0" xfId="0" applyNumberFormat="1"/>
    <xf numFmtId="16" fontId="0" fillId="0" borderId="0" xfId="0" applyNumberFormat="1" applyAlignment="1">
      <alignment horizontal="right"/>
    </xf>
    <xf numFmtId="0" fontId="3" fillId="0" borderId="0" xfId="0" applyFont="1" applyAlignment="1">
      <alignment vertical="center"/>
    </xf>
    <xf numFmtId="14" fontId="0" fillId="0" borderId="0" xfId="0" applyNumberFormat="1"/>
    <xf numFmtId="16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 vertical="center" wrapText="1"/>
    </xf>
    <xf numFmtId="46" fontId="0" fillId="0" borderId="0" xfId="0" applyNumberFormat="1" applyAlignment="1">
      <alignment horizontal="center"/>
    </xf>
    <xf numFmtId="0" fontId="4" fillId="0" borderId="0" xfId="0" pivotButton="1" applyFont="1" applyAlignment="1">
      <alignment horizontal="center" vertical="center"/>
    </xf>
    <xf numFmtId="0" fontId="5" fillId="0" borderId="0" xfId="1"/>
    <xf numFmtId="0" fontId="0" fillId="0" borderId="0" xfId="0" applyAlignment="1">
      <alignment shrinkToFit="1"/>
    </xf>
    <xf numFmtId="0" fontId="4" fillId="0" borderId="0" xfId="0" applyFont="1" applyAlignment="1">
      <alignment horizontal="center" vertical="center" wrapText="1"/>
    </xf>
    <xf numFmtId="0" fontId="6" fillId="0" borderId="0" xfId="0" pivotButton="1" applyFont="1" applyAlignment="1">
      <alignment horizontal="center" vertical="center"/>
    </xf>
    <xf numFmtId="0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35"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alignment horizontal="right"/>
    </dxf>
    <dxf>
      <numFmt numFmtId="21" formatCode="d\-mmm"/>
    </dxf>
    <dxf>
      <numFmt numFmtId="21" formatCode="d\-mmm"/>
    </dxf>
    <dxf>
      <alignment horizontal="center"/>
    </dxf>
    <dxf>
      <alignment vertical="center"/>
    </dxf>
    <dxf>
      <font>
        <color theme="1" tint="0.14999847407452621"/>
      </font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color theme="1" tint="0.34998626667073579"/>
      </font>
    </dxf>
    <dxf>
      <font>
        <color theme="1" tint="0.34998626667073579"/>
      </font>
    </dxf>
    <dxf>
      <numFmt numFmtId="31" formatCode="[h]:mm:ss"/>
    </dxf>
    <dxf>
      <numFmt numFmtId="21" formatCode="d\-mmm"/>
    </dxf>
    <dxf>
      <numFmt numFmtId="21" formatCode="d\-mmm"/>
    </dxf>
    <dxf>
      <numFmt numFmtId="31" formatCode="[h]:mm:ss"/>
    </dxf>
    <dxf>
      <numFmt numFmtId="31" formatCode="[h]:mm:ss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colors>
    <mruColors>
      <color rgb="FF53DAFF"/>
      <color rgb="FF29F0FF"/>
      <color rgb="FFFF4B4B"/>
      <color rgb="FFFF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pivotCacheDefinition" Target="pivotCache/pivotCacheDefinition2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Relationship Id="rId30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kari" refreshedDate="45501.727498842592" createdVersion="8" refreshedVersion="8" minRefreshableVersion="3" recordCount="5" xr:uid="{31F845A1-535F-490C-B80C-9BB7AE721C42}">
  <cacheSource type="worksheet">
    <worksheetSource ref="F1:H6" sheet="2024ds"/>
  </cacheSource>
  <cacheFields count="3">
    <cacheField name="weekly" numFmtId="14">
      <sharedItems containsSemiMixedTypes="0" containsNonDate="0" containsDate="1" containsString="0" minDate="2024-07-22T00:00:00" maxDate="2024-07-23T00:00:00" count="1">
        <d v="2024-07-22T00:00:00"/>
      </sharedItems>
    </cacheField>
    <cacheField name="distance" numFmtId="0">
      <sharedItems containsMixedTypes="1" containsNumber="1" minValue="48.17" maxValue="48.17"/>
    </cacheField>
    <cacheField name="time" numFmtId="46">
      <sharedItems containsDate="1" containsMixedTypes="1" minDate="1899-12-30T04:01:03" maxDate="1899-12-30T04:01: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i" refreshedDate="45504.57254375" backgroundQuery="1" createdVersion="8" refreshedVersion="8" minRefreshableVersion="3" recordCount="0" supportSubquery="1" supportAdvancedDrill="1" xr:uid="{D0D68077-E229-4D0D-8EFC-D85568BAD73B}">
  <cacheSource type="external" connectionId="2"/>
  <cacheFields count="7">
    <cacheField name="[exercise_data 1].[duration].[duration]" caption="duration" numFmtId="0" hierarchy="10" level="1">
      <sharedItems count="7">
        <s v="0:00:10"/>
        <s v="0:02:01"/>
        <s v="1:06:53"/>
        <s v="0:32:23"/>
        <s v="0:30:46"/>
        <s v="0:53:34"/>
        <s v="0:57:27"/>
      </sharedItems>
    </cacheField>
    <cacheField name="[exercise_data 1].[date].[date]" caption="date" numFmtId="0" hierarchy="9" level="1">
      <sharedItems containsSemiMixedTypes="0" containsNonDate="0" containsDate="1" containsString="0" minDate="2024-07-11T00:00:00" maxDate="2024-07-26T00:00:00" count="5">
        <d v="2024-07-11T00:00:00"/>
        <d v="2024-07-22T00:00:00"/>
        <d v="2024-07-23T00:00:00"/>
        <d v="2024-07-24T00:00:00"/>
        <d v="2024-07-25T00:00:00"/>
      </sharedItems>
    </cacheField>
    <cacheField name="[Measures].[Sum of distance]" caption="Sum of distance" numFmtId="0" hierarchy="20" level="32767"/>
    <cacheField name="[Measures].[Average of temperature]" caption="Average of temperature" numFmtId="0" hierarchy="25" level="32767"/>
    <cacheField name="[Measures].[Max of hr_max]" caption="Max of hr_max" numFmtId="0" hierarchy="26" level="32767"/>
    <cacheField name="[Measures].[Average of hr_avg]" caption="Average of hr_avg" numFmtId="0" hierarchy="27" level="32767"/>
    <cacheField name="[exercise_data 1].[session_id].[session_id]" caption="session_id" numFmtId="0" hierarchy="8" level="1">
      <sharedItems containsSemiMixedTypes="0" containsString="0" containsNumber="1" containsInteger="1" minValue="23" maxValue="31" count="7">
        <n v="30"/>
        <n v="31"/>
        <n v="23"/>
        <n v="24"/>
        <n v="25"/>
        <n v="26"/>
        <n v="27"/>
      </sharedItems>
    </cacheField>
  </cacheFields>
  <cacheHierarchies count="29">
    <cacheHierarchy uniqueName="[exercise_data].[session_id]" caption="session_id" attribute="1" defaultMemberUniqueName="[exercise_data].[session_id].[All]" allUniqueName="[exercise_data].[session_id].[All]" dimensionUniqueName="[exercise_data]" displayFolder="" count="0" memberValueDatatype="20" unbalanced="0"/>
    <cacheHierarchy uniqueName="[exercise_data].[date]" caption="date" attribute="1" defaultMemberUniqueName="[exercise_data].[date].[All]" allUniqueName="[exercise_data].[date].[All]" dimensionUniqueName="[exercise_data]" displayFolder="" count="0" memberValueDatatype="130" unbalanced="0"/>
    <cacheHierarchy uniqueName="[exercise_data].[duration]" caption="duration" attribute="1" defaultMemberUniqueName="[exercise_data].[duration].[All]" allUniqueName="[exercise_data].[duration].[All]" dimensionUniqueName="[exercise_data]" displayFolder="" count="0" memberValueDatatype="130" unbalanced="0"/>
    <cacheHierarchy uniqueName="[exercise_data].[distance]" caption="distance" attribute="1" defaultMemberUniqueName="[exercise_data].[distance].[All]" allUniqueName="[exercise_data].[distance].[All]" dimensionUniqueName="[exercise_data]" displayFolder="" count="0" memberValueDatatype="5" unbalanced="0"/>
    <cacheHierarchy uniqueName="[exercise_data].[hr_avg]" caption="hr_avg" attribute="1" defaultMemberUniqueName="[exercise_data].[hr_avg].[All]" allUniqueName="[exercise_data].[hr_avg].[All]" dimensionUniqueName="[exercise_data]" displayFolder="" count="0" memberValueDatatype="20" unbalanced="0"/>
    <cacheHierarchy uniqueName="[exercise_data].[hr_max]" caption="hr_max" attribute="1" defaultMemberUniqueName="[exercise_data].[hr_max].[All]" allUniqueName="[exercise_data].[hr_max].[All]" dimensionUniqueName="[exercise_data]" displayFolder="" count="0" memberValueDatatype="20" unbalanced="0"/>
    <cacheHierarchy uniqueName="[exercise_data].[temperature]" caption="temperature" attribute="1" defaultMemberUniqueName="[exercise_data].[temperature].[All]" allUniqueName="[exercise_data].[temperature].[All]" dimensionUniqueName="[exercise_data]" displayFolder="" count="0" memberValueDatatype="20" unbalanced="0"/>
    <cacheHierarchy uniqueName="[exercise_data].[timestamp]" caption="timestamp" attribute="1" defaultMemberUniqueName="[exercise_data].[timestamp].[All]" allUniqueName="[exercise_data].[timestamp].[All]" dimensionUniqueName="[exercise_data]" displayFolder="" count="0" memberValueDatatype="130" unbalanced="0"/>
    <cacheHierarchy uniqueName="[exercise_data 1].[session_id]" caption="session_id" attribute="1" defaultMemberUniqueName="[exercise_data 1].[session_id].[All]" allUniqueName="[exercise_data 1].[session_id].[All]" dimensionUniqueName="[exercise_data 1]" displayFolder="" count="2" memberValueDatatype="5" unbalanced="0">
      <fieldsUsage count="2">
        <fieldUsage x="-1"/>
        <fieldUsage x="6"/>
      </fieldsUsage>
    </cacheHierarchy>
    <cacheHierarchy uniqueName="[exercise_data 1].[date]" caption="date" attribute="1" time="1" defaultMemberUniqueName="[exercise_data 1].[date].[All]" allUniqueName="[exercise_data 1].[date].[All]" dimensionUniqueName="[exercise_data 1]" displayFolder="" count="2" memberValueDatatype="7" unbalanced="0">
      <fieldsUsage count="2">
        <fieldUsage x="-1"/>
        <fieldUsage x="1"/>
      </fieldsUsage>
    </cacheHierarchy>
    <cacheHierarchy uniqueName="[exercise_data 1].[duration]" caption="duration" attribute="1" defaultMemberUniqueName="[exercise_data 1].[duration].[All]" allUniqueName="[exercise_data 1].[duration].[All]" dimensionUniqueName="[exercise_data 1]" displayFolder="" count="2" memberValueDatatype="130" unbalanced="0">
      <fieldsUsage count="2">
        <fieldUsage x="-1"/>
        <fieldUsage x="0"/>
      </fieldsUsage>
    </cacheHierarchy>
    <cacheHierarchy uniqueName="[exercise_data 1].[distance]" caption="distance" attribute="1" defaultMemberUniqueName="[exercise_data 1].[distance].[All]" allUniqueName="[exercise_data 1].[distance].[All]" dimensionUniqueName="[exercise_data 1]" displayFolder="" count="0" memberValueDatatype="5" unbalanced="0"/>
    <cacheHierarchy uniqueName="[exercise_data 1].[hr_avg]" caption="hr_avg" attribute="1" defaultMemberUniqueName="[exercise_data 1].[hr_avg].[All]" allUniqueName="[exercise_data 1].[hr_avg].[All]" dimensionUniqueName="[exercise_data 1]" displayFolder="" count="0" memberValueDatatype="5" unbalanced="0"/>
    <cacheHierarchy uniqueName="[exercise_data 1].[hr_max]" caption="hr_max" attribute="1" defaultMemberUniqueName="[exercise_data 1].[hr_max].[All]" allUniqueName="[exercise_data 1].[hr_max].[All]" dimensionUniqueName="[exercise_data 1]" displayFolder="" count="0" memberValueDatatype="5" unbalanced="0"/>
    <cacheHierarchy uniqueName="[exercise_data 1].[temperature]" caption="temperature" attribute="1" defaultMemberUniqueName="[exercise_data 1].[temperature].[All]" allUniqueName="[exercise_data 1].[temperature].[All]" dimensionUniqueName="[exercise_data 1]" displayFolder="" count="0" memberValueDatatype="5" unbalanced="0"/>
    <cacheHierarchy uniqueName="[exercise_data 1].[exercise_id]" caption="exercise_id" attribute="1" defaultMemberUniqueName="[exercise_data 1].[exercise_id].[All]" allUniqueName="[exercise_data 1].[exercise_id].[All]" dimensionUniqueName="[exercise_data 1]" displayFolder="" count="0" memberValueDatatype="130" unbalanced="0"/>
    <cacheHierarchy uniqueName="[Measures].[__XL_Count exercise_data]" caption="__XL_Count exercise_data" measure="1" displayFolder="" measureGroup="exercise_data" count="0" hidden="1"/>
    <cacheHierarchy uniqueName="[Measures].[__XL_Count exercise_data 1]" caption="__XL_Count exercise_data 1" measure="1" displayFolder="" measureGroup="exercise_data 1" count="0" hidden="1"/>
    <cacheHierarchy uniqueName="[Measures].[__No measures defined]" caption="__No measures defined" measure="1" displayFolder="" count="0" hidden="1"/>
    <cacheHierarchy uniqueName="[Measures].[Count of duration]" caption="Count of duration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stance]" caption="Sum of distance" measure="1" displayFolder="" measureGroup="exercise_data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r_avg]" caption="Sum of hr_avg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hr_max]" caption="Sum of hr_max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temperature]" caption="Sum of temperatur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date]" caption="Count of dat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temperature]" caption="Average of temperature" measure="1" displayFolder="" measureGroup="exercise_data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ax of hr_max]" caption="Max of hr_max" measure="1" displayFolder="" measureGroup="exercise_data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hr_avg]" caption="Average of hr_avg" measure="1" displayFolder="" measureGroup="exercise_data 1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distance 2]" caption="Sum of distance 2" measure="1" displayFolder="" measureGroup="exercise_data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name="exercise_data" uniqueName="[exercise_data]" caption="exercise_data"/>
    <dimension name="exercise_data 1" uniqueName="[exercise_data 1]" caption="exercise_data 1"/>
    <dimension measure="1" name="Measures" uniqueName="[Measures]" caption="Measures"/>
  </dimensions>
  <measureGroups count="2">
    <measureGroup name="exercise_data" caption="exercise_data"/>
    <measureGroup name="exercise_data 1" caption="exercise_data 1"/>
  </measureGroups>
  <maps count="2">
    <map measureGroup="0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48.17"/>
    <d v="1899-12-30T04:01:03"/>
  </r>
  <r>
    <x v="0"/>
    <s v=""/>
    <s v=""/>
  </r>
  <r>
    <x v="0"/>
    <s v=""/>
    <s v=""/>
  </r>
  <r>
    <x v="0"/>
    <s v=""/>
    <s v=""/>
  </r>
  <r>
    <x v="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6AEB6-03E7-468B-A0E3-A514307E6AF1}" name="PivotTable3" cacheId="0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week">
  <location ref="M1:O3" firstHeaderRow="0" firstDataRow="1" firstDataCol="1"/>
  <pivotFields count="3">
    <pivotField axis="axisRow" numFmtId="14" showAll="0">
      <items count="2">
        <item x="0"/>
        <item t="default"/>
      </items>
    </pivotField>
    <pivotField dataField="1" showAll="0"/>
    <pivotField dataField="1" showAl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weekly distance" fld="1" baseField="0" baseItem="0"/>
    <dataField name="weekly time" fld="2" baseField="0" baseItem="0" numFmtId="46"/>
  </dataFields>
  <formats count="12">
    <format dxfId="32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31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  <format dxfId="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">
      <pivotArea field="0" type="button" dataOnly="0" labelOnly="1" outline="0" axis="axisRow" fieldPosition="0"/>
    </format>
    <format dxfId="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">
      <pivotArea field="0" type="button" dataOnly="0" labelOnly="1" outline="0" axis="axisRow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field="0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9F6BC4-95F6-450F-BA5C-E4BA7E591D03}" name="PivotTable2" cacheId="4" applyNumberFormats="0" applyBorderFormats="0" applyFontFormats="0" applyPatternFormats="0" applyAlignmentFormats="0" applyWidthHeightFormats="1" dataCaption="Values" grandTotalCaption="Total" tag="dc6876a9-4a7b-44ac-b0e1-f9b113ea3fcf" updatedVersion="8" minRefreshableVersion="3" showDrill="0" useAutoFormatting="1" subtotalHiddenItems="1" colGrandTotals="0" itemPrintTitles="1" createdVersion="8" indent="0" compact="0" compactData="0" multipleFieldFilters="0">
  <location ref="A1:G9" firstHeaderRow="0" firstDataRow="1" firstDataCol="3"/>
  <pivotFields count="7">
    <pivotField name="time" axis="axisRow" compact="0" allDrilled="1" outline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compact="0" allDrilled="1" outline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name="id" axis="axisRow" compact="0" allDrilled="1" outline="0" subtotalTop="0" showAll="0" sortType="ascending" defaultSubtotal="0" defaultAttributeDrillState="1">
      <items count="7">
        <item x="2"/>
        <item x="3"/>
        <item x="4"/>
        <item x="5"/>
        <item x="6"/>
        <item x="0"/>
        <item x="1"/>
      </items>
    </pivotField>
  </pivotFields>
  <rowFields count="3">
    <field x="1"/>
    <field x="6"/>
    <field x="0"/>
  </rowFields>
  <rowItems count="8">
    <i>
      <x/>
      <x v="5"/>
      <x/>
    </i>
    <i r="1">
      <x v="6"/>
      <x v="1"/>
    </i>
    <i>
      <x v="1"/>
      <x/>
      <x v="2"/>
    </i>
    <i>
      <x v="2"/>
      <x v="1"/>
      <x v="3"/>
    </i>
    <i r="1">
      <x v="2"/>
      <x v="4"/>
    </i>
    <i>
      <x v="3"/>
      <x v="3"/>
      <x v="5"/>
    </i>
    <i>
      <x v="4"/>
      <x v="4"/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distance" fld="2" baseField="0" baseItem="0"/>
    <dataField name="hr max" fld="4" subtotal="max" baseField="0" baseItem="0"/>
    <dataField name="hr avg" fld="5" subtotal="average" baseField="0" baseItem="0"/>
    <dataField name="temp" fld="3" subtotal="average" baseField="0" baseItem="0"/>
  </dataFields>
  <formats count="21">
    <format dxfId="0">
      <pivotArea field="1" type="button" dataOnly="0" labelOnly="1" outline="0" axis="axisRow" fieldPosition="0"/>
    </format>
    <format dxfId="1">
      <pivotArea field="0" type="button" dataOnly="0" labelOnly="1" outline="0" axis="axisRow" fieldPosition="2"/>
    </format>
    <format dxfId="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">
      <pivotArea field="1" type="button" dataOnly="0" labelOnly="1" outline="0" axis="axisRow" fieldPosition="0"/>
    </format>
    <format dxfId="4">
      <pivotArea field="0" type="button" dataOnly="0" labelOnly="1" outline="0" axis="axisRow" fieldPosition="2"/>
    </format>
    <format dxfId="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">
      <pivotArea field="0" type="button" dataOnly="0" labelOnly="1" outline="0" axis="axisRow" fieldPosition="2"/>
    </format>
    <format dxfId="11">
      <pivotArea field="1" type="button" dataOnly="0" labelOnly="1" outline="0" axis="axisRow" fieldPosition="0"/>
    </format>
    <format dxfId="12">
      <pivotArea field="1" type="button" dataOnly="0" labelOnly="1" outline="0" axis="axisRow" fieldPosition="0"/>
    </format>
    <format dxfId="13">
      <pivotArea field="0" type="button" dataOnly="0" labelOnly="1" outline="0" axis="axisRow" fieldPosition="2"/>
    </format>
    <format dxfId="1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5">
      <pivotArea outline="0" collapsedLevelsAreSubtotals="1" fieldPosition="0"/>
    </format>
    <format dxfId="16">
      <pivotArea dataOnly="0" labelOnly="1" outline="0" fieldPosition="0">
        <references count="1">
          <reference field="1" count="0"/>
        </references>
      </pivotArea>
    </format>
    <format dxfId="17">
      <pivotArea dataOnly="0" labelOnly="1" grandRow="1" outline="0" fieldPosition="0"/>
    </format>
    <format dxfId="18">
      <pivotArea field="6" type="button" dataOnly="0" labelOnly="1" outline="0" axis="axisRow" fieldPosition="1"/>
    </format>
    <format dxfId="19">
      <pivotArea field="6" type="button" dataOnly="0" labelOnly="1" outline="0" axis="axisRow" fieldPosition="1"/>
    </format>
    <format dxfId="20">
      <pivotArea field="6" type="button" dataOnly="0" labelOnly="1" outline="0" axis="axisRow" fieldPosition="1"/>
    </format>
  </formats>
  <pivotHierarchies count="2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distance"/>
    <pivotHierarchy dragToData="1" caption="hr avg"/>
    <pivotHierarchy dragToData="1" caption="hr_max"/>
    <pivotHierarchy dragToData="1" caption="temperature"/>
    <pivotHierarchy dragToData="1"/>
    <pivotHierarchy dragToData="1" caption="temp"/>
    <pivotHierarchy dragToData="1" caption="hr max"/>
    <pivotHierarchy dragToData="1" caption="hr avg"/>
    <pivotHierarchy dragToData="1"/>
  </pivotHierarchies>
  <pivotTableStyleInfo name="PivotStyleLight20" showRowHeaders="1" showColHeaders="1" showRowStripes="1" showColStripes="0" showLastColumn="1"/>
  <rowHierarchiesUsage count="3">
    <rowHierarchyUsage hierarchyUsage="9"/>
    <rowHierarchyUsage hierarchyUsage="8"/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xercise_data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9E600-2B27-4B07-86A5-EEA7D11F474C}">
  <sheetPr codeName="Sheet1"/>
  <dimension ref="A1:X369"/>
  <sheetViews>
    <sheetView tabSelected="1" zoomScale="85" zoomScaleNormal="85" workbookViewId="0">
      <selection activeCell="I13" sqref="I13"/>
    </sheetView>
  </sheetViews>
  <sheetFormatPr defaultColWidth="9.21875" defaultRowHeight="14.4"/>
  <cols>
    <col min="1" max="1" width="10.21875" style="13" customWidth="1"/>
    <col min="2" max="2" width="5.77734375" style="14" customWidth="1"/>
    <col min="3" max="3" width="10" style="3" bestFit="1" customWidth="1"/>
    <col min="4" max="4" width="8.21875" bestFit="1" customWidth="1"/>
    <col min="5" max="5" width="6.6640625" bestFit="1" customWidth="1"/>
    <col min="6" max="6" width="5.88671875" bestFit="1" customWidth="1"/>
    <col min="7" max="7" width="5.44140625" bestFit="1" customWidth="1"/>
    <col min="8" max="8" width="6.88671875" customWidth="1"/>
    <col min="9" max="9" width="7.5546875" customWidth="1"/>
    <col min="11" max="11" width="21.88671875" style="22" customWidth="1"/>
    <col min="12" max="13" width="10.6640625" bestFit="1" customWidth="1"/>
    <col min="14" max="14" width="8.21875" style="3" bestFit="1" customWidth="1"/>
    <col min="15" max="15" width="7.21875" bestFit="1" customWidth="1"/>
    <col min="16" max="16" width="12.44140625" customWidth="1"/>
    <col min="17" max="17" width="8.6640625" customWidth="1"/>
    <col min="18" max="18" width="7.33203125" bestFit="1" customWidth="1"/>
    <col min="19" max="19" width="7.109375" customWidth="1"/>
    <col min="20" max="20" width="9.21875" customWidth="1"/>
    <col min="21" max="21" width="9.21875" style="3" hidden="1" customWidth="1"/>
    <col min="22" max="22" width="10.109375" hidden="1" customWidth="1"/>
    <col min="23" max="23" width="9.21875" style="5" hidden="1" customWidth="1"/>
    <col min="24" max="24" width="9.21875" hidden="1" customWidth="1"/>
  </cols>
  <sheetData>
    <row r="1" spans="1:24" ht="28.8">
      <c r="A1" s="6" t="s">
        <v>5</v>
      </c>
      <c r="B1" s="24" t="s">
        <v>36</v>
      </c>
      <c r="C1" s="6" t="s">
        <v>23</v>
      </c>
      <c r="D1" s="7" t="s">
        <v>11</v>
      </c>
      <c r="E1" s="7" t="s">
        <v>21</v>
      </c>
      <c r="F1" s="7" t="s">
        <v>22</v>
      </c>
      <c r="G1" s="7" t="s">
        <v>20</v>
      </c>
      <c r="H1" s="8" t="s">
        <v>9</v>
      </c>
      <c r="I1" s="9" t="s">
        <v>10</v>
      </c>
      <c r="J1" s="9" t="s">
        <v>3</v>
      </c>
      <c r="K1" s="10" t="s">
        <v>8</v>
      </c>
      <c r="L1" s="10" t="s">
        <v>35</v>
      </c>
      <c r="M1" s="20" t="s">
        <v>32</v>
      </c>
      <c r="N1" s="23" t="s">
        <v>33</v>
      </c>
      <c r="O1" s="23" t="s">
        <v>34</v>
      </c>
      <c r="Q1" s="9" t="s">
        <v>4</v>
      </c>
      <c r="R1" s="18" t="s">
        <v>0</v>
      </c>
      <c r="T1" s="18" t="s">
        <v>6</v>
      </c>
      <c r="U1" s="2" t="s">
        <v>7</v>
      </c>
      <c r="V1" s="2" t="s">
        <v>12</v>
      </c>
      <c r="W1" s="2" t="s">
        <v>13</v>
      </c>
      <c r="X1" s="2" t="s">
        <v>14</v>
      </c>
    </row>
    <row r="2" spans="1:24">
      <c r="A2" s="13">
        <v>45484</v>
      </c>
      <c r="B2">
        <v>30</v>
      </c>
      <c r="C2" t="s">
        <v>41</v>
      </c>
      <c r="D2" s="25">
        <v>0</v>
      </c>
      <c r="E2" s="25"/>
      <c r="F2" s="25"/>
      <c r="G2" s="25"/>
      <c r="H2" s="11" t="e">
        <f>IF(X2="", "", TIMEVALUE("0:" &amp; X2))</f>
        <v>#DIV/0!</v>
      </c>
      <c r="I2" s="15">
        <f>IFERROR(INDEX('2024ds'!$B$2:$B$368, MATCH($B2, '2024ds'!$A$2:$A$368, 0)), "")</f>
        <v>0</v>
      </c>
      <c r="J2" s="1">
        <f>IFERROR(INDEX('2024ds'!$C$2:$C$368, MATCH($B2, '2024ds'!$A$2:$A$368, 0)), "")</f>
        <v>0</v>
      </c>
      <c r="K2" s="22">
        <f>IFERROR(INDEX('2024ds'!$D$2:$D$368, MATCH($B2, '2024ds'!$A$2:$A$368, 0)), "")</f>
        <v>0</v>
      </c>
      <c r="L2" s="21" t="str">
        <f>HYPERLINK("#'2024ds'!E" &amp; ROW(B2), "")</f>
        <v/>
      </c>
      <c r="M2" s="17">
        <v>45495</v>
      </c>
      <c r="N2">
        <v>48.17</v>
      </c>
      <c r="O2" s="3">
        <v>0.16739583333333333</v>
      </c>
      <c r="P2" s="3"/>
      <c r="Q2" s="19" t="s">
        <v>1</v>
      </c>
      <c r="R2">
        <v>12.01</v>
      </c>
      <c r="T2" s="3">
        <f>SUM(U2:U368)</f>
        <v>0.16891203703703703</v>
      </c>
      <c r="U2" s="3">
        <f>IF(C2="","",TIMEVALUE(C2))</f>
        <v>1.1574074074074075E-4</v>
      </c>
      <c r="V2" s="4">
        <f>IF(C2="","",HOUR(C2)*60 + MINUTE(C2) + SECOND(C2)/60)</f>
        <v>0.16666666666666666</v>
      </c>
      <c r="W2" s="4" t="e">
        <f>IF(V2="","",V2/D2)</f>
        <v>#DIV/0!</v>
      </c>
      <c r="X2" t="e">
        <f t="shared" ref="X2:X65" si="0">IF(V2="", "", IF(MOD(W2,1)*60&gt;=59.5, TEXT(INT(W2)+1, "0") &amp; ":00", TEXT(INT(W2), "0") &amp; ":" &amp; TEXT(ROUND(MOD(W2,1)*60, 0), "00")))</f>
        <v>#DIV/0!</v>
      </c>
    </row>
    <row r="3" spans="1:24">
      <c r="B3">
        <v>31</v>
      </c>
      <c r="C3" t="s">
        <v>42</v>
      </c>
      <c r="D3" s="25">
        <v>0.11</v>
      </c>
      <c r="E3" s="25"/>
      <c r="F3" s="25"/>
      <c r="G3" s="25"/>
      <c r="H3" s="11">
        <f t="shared" ref="H3:H66" si="1">IF(X3="", "", TIMEVALUE("0:" &amp; X3))</f>
        <v>1.2731481481481481E-2</v>
      </c>
      <c r="I3" s="15">
        <f>IFERROR(INDEX('2024ds'!$B$2:$B$368, MATCH($B3, '2024ds'!$A$2:$A$368, 0)), "")</f>
        <v>0</v>
      </c>
      <c r="J3" s="1">
        <f>IFERROR(INDEX('2024ds'!$C$2:$C$368, MATCH($B3, '2024ds'!$A$2:$A$368, 0)), "")</f>
        <v>0</v>
      </c>
      <c r="K3" s="22">
        <f>IFERROR(INDEX('2024ds'!$D$2:$D$368, MATCH($B3, '2024ds'!$A$2:$A$368, 0)), "")</f>
        <v>0</v>
      </c>
      <c r="L3" s="21" t="str">
        <f t="shared" ref="L3:L66" si="2">HYPERLINK("#'2024ds'!E" &amp; ROW(B3), "")</f>
        <v/>
      </c>
      <c r="M3" s="17" t="s">
        <v>31</v>
      </c>
      <c r="N3">
        <v>48.17</v>
      </c>
      <c r="O3" s="3">
        <v>0.16739583333333333</v>
      </c>
      <c r="P3" s="3"/>
      <c r="Q3" s="19" t="s">
        <v>2</v>
      </c>
      <c r="R3">
        <v>36.160000000000004</v>
      </c>
      <c r="U3" s="3">
        <f t="shared" ref="U3:U66" si="3">IF(C3="","",TIMEVALUE(C3))</f>
        <v>1.4004629629629629E-3</v>
      </c>
      <c r="V3" s="4">
        <f t="shared" ref="V3:V66" si="4">IF(C3="","",HOUR(C3)*60 + MINUTE(C3) + SECOND(C3)/60)</f>
        <v>2.0166666666666666</v>
      </c>
      <c r="W3" s="4">
        <f t="shared" ref="W3:W66" si="5">IF(V3="","",V3/D3)</f>
        <v>18.333333333333332</v>
      </c>
      <c r="X3" t="str">
        <f t="shared" si="0"/>
        <v>18:20</v>
      </c>
    </row>
    <row r="4" spans="1:24">
      <c r="A4" s="13">
        <v>45495</v>
      </c>
      <c r="B4">
        <v>23</v>
      </c>
      <c r="C4" t="s">
        <v>15</v>
      </c>
      <c r="D4" s="25">
        <v>12.01</v>
      </c>
      <c r="E4" s="25"/>
      <c r="F4" s="25"/>
      <c r="G4" s="25">
        <v>24</v>
      </c>
      <c r="H4" s="11">
        <f t="shared" si="1"/>
        <v>3.8657407407407408E-3</v>
      </c>
      <c r="I4" s="15">
        <f>IFERROR(INDEX('2024ds'!$B$2:$B$368, MATCH($B4, '2024ds'!$A$2:$A$368, 0)), "")</f>
        <v>2</v>
      </c>
      <c r="J4" s="1" t="str">
        <f>IFERROR(INDEX('2024ds'!$C$2:$C$368, MATCH($B4, '2024ds'!$A$2:$A$368, 0)), "")</f>
        <v>s2</v>
      </c>
      <c r="K4" s="22" t="str">
        <f>IFERROR(INDEX('2024ds'!$D$2:$D$368, MATCH($B4, '2024ds'!$A$2:$A$368, 0)), "")</f>
        <v>very easy jog</v>
      </c>
      <c r="L4" s="21" t="str">
        <f t="shared" si="2"/>
        <v/>
      </c>
      <c r="U4" s="3">
        <f t="shared" si="3"/>
        <v>4.6446759259259257E-2</v>
      </c>
      <c r="V4" s="4">
        <f t="shared" si="4"/>
        <v>66.88333333333334</v>
      </c>
      <c r="W4" s="4">
        <f t="shared" si="5"/>
        <v>5.568970302525674</v>
      </c>
      <c r="X4" t="str">
        <f t="shared" si="0"/>
        <v>5:34</v>
      </c>
    </row>
    <row r="5" spans="1:24">
      <c r="A5" s="13">
        <v>45496</v>
      </c>
      <c r="B5">
        <v>24</v>
      </c>
      <c r="C5" t="s">
        <v>16</v>
      </c>
      <c r="D5" s="25">
        <v>5.98</v>
      </c>
      <c r="E5" s="25"/>
      <c r="F5" s="25"/>
      <c r="G5" s="25">
        <v>24</v>
      </c>
      <c r="H5" s="11">
        <f t="shared" si="1"/>
        <v>3.7615740740740739E-3</v>
      </c>
      <c r="I5" s="15">
        <f>IFERROR(INDEX('2024ds'!$B$2:$B$368, MATCH($B5, '2024ds'!$A$2:$A$368, 0)), "")</f>
        <v>3</v>
      </c>
      <c r="J5" s="1" t="str">
        <f>IFERROR(INDEX('2024ds'!$C$2:$C$368, MATCH($B5, '2024ds'!$A$2:$A$368, 0)), "")</f>
        <v>s2</v>
      </c>
      <c r="K5" s="22" t="str">
        <f>IFERROR(INDEX('2024ds'!$D$2:$D$368, MATCH($B5, '2024ds'!$A$2:$A$368, 0)), "")</f>
        <v>progressive easy run</v>
      </c>
      <c r="L5" s="21" t="str">
        <f t="shared" si="2"/>
        <v/>
      </c>
      <c r="U5" s="3">
        <f t="shared" si="3"/>
        <v>2.2488425925925926E-2</v>
      </c>
      <c r="V5" s="4">
        <f t="shared" si="4"/>
        <v>32.383333333333333</v>
      </c>
      <c r="W5" s="4">
        <f t="shared" si="5"/>
        <v>5.4152731326644368</v>
      </c>
      <c r="X5" t="str">
        <f t="shared" si="0"/>
        <v>5:25</v>
      </c>
    </row>
    <row r="6" spans="1:24">
      <c r="B6">
        <v>25</v>
      </c>
      <c r="C6" t="s">
        <v>17</v>
      </c>
      <c r="D6" s="25">
        <v>6.16</v>
      </c>
      <c r="E6" s="25"/>
      <c r="F6" s="25"/>
      <c r="G6" s="25">
        <v>24</v>
      </c>
      <c r="H6" s="11">
        <f t="shared" si="1"/>
        <v>3.472222222222222E-3</v>
      </c>
      <c r="I6" s="15">
        <f>IFERROR(INDEX('2024ds'!$B$2:$B$368, MATCH($B6, '2024ds'!$A$2:$A$368, 0)), "")</f>
        <v>3</v>
      </c>
      <c r="J6" s="1" t="str">
        <f>IFERROR(INDEX('2024ds'!$C$2:$C$368, MATCH($B6, '2024ds'!$A$2:$A$368, 0)), "")</f>
        <v>s2</v>
      </c>
      <c r="K6" s="22" t="str">
        <f>IFERROR(INDEX('2024ds'!$D$2:$D$368, MATCH($B6, '2024ds'!$A$2:$A$368, 0)), "")</f>
        <v>missclick</v>
      </c>
      <c r="L6" s="21" t="str">
        <f t="shared" si="2"/>
        <v/>
      </c>
      <c r="U6" s="3">
        <f t="shared" si="3"/>
        <v>2.1365740740740741E-2</v>
      </c>
      <c r="V6" s="4">
        <f t="shared" si="4"/>
        <v>30.766666666666666</v>
      </c>
      <c r="W6" s="4">
        <f t="shared" si="5"/>
        <v>4.9945887445887447</v>
      </c>
      <c r="X6" t="str">
        <f t="shared" si="0"/>
        <v>5:00</v>
      </c>
    </row>
    <row r="7" spans="1:24">
      <c r="A7" s="13">
        <v>45497</v>
      </c>
      <c r="B7">
        <v>26</v>
      </c>
      <c r="C7" t="s">
        <v>24</v>
      </c>
      <c r="D7" s="25">
        <v>12.01</v>
      </c>
      <c r="E7" s="25"/>
      <c r="F7" s="25"/>
      <c r="G7" s="25">
        <v>24</v>
      </c>
      <c r="H7" s="11">
        <f t="shared" si="1"/>
        <v>3.1018518518518517E-3</v>
      </c>
      <c r="I7" s="15">
        <f>IFERROR(INDEX('2024ds'!$B$2:$B$368, MATCH($B7, '2024ds'!$A$2:$A$368, 0)), "")</f>
        <v>7</v>
      </c>
      <c r="J7" s="1" t="str">
        <f>IFERROR(INDEX('2024ds'!$C$2:$C$368, MATCH($B7, '2024ds'!$A$2:$A$368, 0)), "")</f>
        <v>n</v>
      </c>
      <c r="K7" s="22" t="str">
        <f>IFERROR(INDEX('2024ds'!$D$2:$D$368, MATCH($B7, '2024ds'!$A$2:$A$368, 0)), "")</f>
        <v>tempo run</v>
      </c>
      <c r="L7" s="21" t="str">
        <f t="shared" si="2"/>
        <v/>
      </c>
      <c r="U7" s="3">
        <f t="shared" si="3"/>
        <v>3.7199074074074072E-2</v>
      </c>
      <c r="V7" s="4">
        <f t="shared" si="4"/>
        <v>53.56666666666667</v>
      </c>
      <c r="W7" s="4">
        <f t="shared" si="5"/>
        <v>4.4601720788232031</v>
      </c>
      <c r="X7" t="str">
        <f t="shared" si="0"/>
        <v>4:28</v>
      </c>
    </row>
    <row r="8" spans="1:24">
      <c r="A8" s="13">
        <v>45498</v>
      </c>
      <c r="B8">
        <v>27</v>
      </c>
      <c r="C8" t="s">
        <v>25</v>
      </c>
      <c r="D8" s="25">
        <v>12.01</v>
      </c>
      <c r="E8" s="25"/>
      <c r="F8" s="25"/>
      <c r="G8" s="25">
        <v>25</v>
      </c>
      <c r="H8" s="11">
        <f t="shared" si="1"/>
        <v>3.3217592592592591E-3</v>
      </c>
      <c r="I8" s="15">
        <f>IFERROR(INDEX('2024ds'!$B$2:$B$368, MATCH($B8, '2024ds'!$A$2:$A$368, 0)), "")</f>
        <v>5</v>
      </c>
      <c r="J8" s="1" t="str">
        <f>IFERROR(INDEX('2024ds'!$C$2:$C$368, MATCH($B8, '2024ds'!$A$2:$A$368, 0)), "")</f>
        <v>s2</v>
      </c>
      <c r="K8" s="22" t="str">
        <f>IFERROR(INDEX('2024ds'!$D$2:$D$368, MATCH($B8, '2024ds'!$A$2:$A$368, 0)), "")</f>
        <v>fartlek 2ks</v>
      </c>
      <c r="L8" s="21" t="str">
        <f t="shared" si="2"/>
        <v/>
      </c>
      <c r="U8" s="3">
        <f t="shared" si="3"/>
        <v>3.9895833333333332E-2</v>
      </c>
      <c r="V8" s="4">
        <f t="shared" si="4"/>
        <v>57.45</v>
      </c>
      <c r="W8" s="4">
        <f t="shared" si="5"/>
        <v>4.7835137385512079</v>
      </c>
      <c r="X8" t="str">
        <f t="shared" si="0"/>
        <v>4:47</v>
      </c>
    </row>
    <row r="9" spans="1:24">
      <c r="A9" s="13" t="s">
        <v>31</v>
      </c>
      <c r="B9" s="13"/>
      <c r="C9" s="13"/>
      <c r="D9" s="25">
        <v>48.28</v>
      </c>
      <c r="E9" s="25"/>
      <c r="F9" s="25"/>
      <c r="G9" s="25">
        <v>24.2</v>
      </c>
      <c r="H9" s="11" t="str">
        <f t="shared" si="1"/>
        <v/>
      </c>
      <c r="I9" s="15" t="str">
        <f>IFERROR(INDEX('2024ds'!$B$2:$B$368, MATCH($B9, '2024ds'!$A$2:$A$368, 0)), "")</f>
        <v/>
      </c>
      <c r="J9" s="1" t="str">
        <f>IFERROR(INDEX('2024ds'!$C$2:$C$368, MATCH($B9, '2024ds'!$A$2:$A$368, 0)), "")</f>
        <v/>
      </c>
      <c r="K9" s="22" t="str">
        <f>IFERROR(INDEX('2024ds'!$D$2:$D$368, MATCH($B9, '2024ds'!$A$2:$A$368, 0)), "")</f>
        <v/>
      </c>
      <c r="L9" s="21" t="str">
        <f t="shared" si="2"/>
        <v/>
      </c>
      <c r="U9" s="3" t="str">
        <f t="shared" si="3"/>
        <v/>
      </c>
      <c r="V9" s="4" t="str">
        <f t="shared" si="4"/>
        <v/>
      </c>
      <c r="W9" s="4" t="str">
        <f t="shared" si="5"/>
        <v/>
      </c>
      <c r="X9" t="str">
        <f t="shared" si="0"/>
        <v/>
      </c>
    </row>
    <row r="10" spans="1:24">
      <c r="C10" s="1"/>
      <c r="D10" s="1"/>
      <c r="E10" s="1"/>
      <c r="F10" s="1"/>
      <c r="G10" s="11" t="str">
        <f t="shared" ref="G8:G39" si="6">IF(X10="", "", TIMEVALUE("0:" &amp; X10))</f>
        <v/>
      </c>
      <c r="H10" s="11" t="str">
        <f t="shared" si="1"/>
        <v/>
      </c>
      <c r="I10" s="15" t="str">
        <f>IFERROR(INDEX('2024ds'!$B$2:$B$368, MATCH($B10, '2024ds'!$A$2:$A$368, 0)), "")</f>
        <v/>
      </c>
      <c r="J10" s="1" t="str">
        <f>IFERROR(INDEX('2024ds'!$C$2:$C$368, MATCH($B10, '2024ds'!$A$2:$A$368, 0)), "")</f>
        <v/>
      </c>
      <c r="K10" s="22" t="str">
        <f>IFERROR(INDEX('2024ds'!$D$2:$D$368, MATCH($B10, '2024ds'!$A$2:$A$368, 0)), "")</f>
        <v/>
      </c>
      <c r="L10" s="21" t="str">
        <f t="shared" si="2"/>
        <v/>
      </c>
      <c r="U10" s="3" t="str">
        <f t="shared" si="3"/>
        <v/>
      </c>
      <c r="V10" s="4" t="str">
        <f t="shared" si="4"/>
        <v/>
      </c>
      <c r="W10" s="4" t="str">
        <f t="shared" si="5"/>
        <v/>
      </c>
      <c r="X10" t="str">
        <f t="shared" si="0"/>
        <v/>
      </c>
    </row>
    <row r="11" spans="1:24">
      <c r="C11" s="1"/>
      <c r="D11" s="1"/>
      <c r="E11" s="1"/>
      <c r="F11" s="1"/>
      <c r="G11" s="11" t="str">
        <f t="shared" si="6"/>
        <v/>
      </c>
      <c r="H11" s="11" t="str">
        <f t="shared" si="1"/>
        <v/>
      </c>
      <c r="I11" s="15" t="str">
        <f>IFERROR(INDEX('2024ds'!$B$2:$B$368, MATCH($B11, '2024ds'!$A$2:$A$368, 0)), "")</f>
        <v/>
      </c>
      <c r="J11" s="1" t="str">
        <f>IFERROR(INDEX('2024ds'!$C$2:$C$368, MATCH($B11, '2024ds'!$A$2:$A$368, 0)), "")</f>
        <v/>
      </c>
      <c r="K11" s="22" t="str">
        <f>IFERROR(INDEX('2024ds'!$D$2:$D$368, MATCH($B11, '2024ds'!$A$2:$A$368, 0)), "")</f>
        <v/>
      </c>
      <c r="L11" s="21" t="str">
        <f t="shared" si="2"/>
        <v/>
      </c>
      <c r="U11" s="3" t="str">
        <f t="shared" si="3"/>
        <v/>
      </c>
      <c r="V11" s="4" t="str">
        <f t="shared" si="4"/>
        <v/>
      </c>
      <c r="W11" s="4" t="str">
        <f t="shared" si="5"/>
        <v/>
      </c>
      <c r="X11" t="str">
        <f t="shared" si="0"/>
        <v/>
      </c>
    </row>
    <row r="12" spans="1:24">
      <c r="C12" s="1"/>
      <c r="D12" s="1"/>
      <c r="E12" s="1"/>
      <c r="F12" s="1"/>
      <c r="G12" s="11" t="str">
        <f t="shared" si="6"/>
        <v/>
      </c>
      <c r="H12" s="11" t="str">
        <f t="shared" si="1"/>
        <v/>
      </c>
      <c r="I12" s="15" t="str">
        <f>IFERROR(INDEX('2024ds'!$B$2:$B$368, MATCH($B12, '2024ds'!$A$2:$A$368, 0)), "")</f>
        <v/>
      </c>
      <c r="J12" s="1" t="str">
        <f>IFERROR(INDEX('2024ds'!$C$2:$C$368, MATCH($B12, '2024ds'!$A$2:$A$368, 0)), "")</f>
        <v/>
      </c>
      <c r="K12" s="22" t="str">
        <f>IFERROR(INDEX('2024ds'!$D$2:$D$368, MATCH($B12, '2024ds'!$A$2:$A$368, 0)), "")</f>
        <v/>
      </c>
      <c r="L12" s="21" t="str">
        <f t="shared" si="2"/>
        <v/>
      </c>
      <c r="U12" s="3" t="str">
        <f t="shared" si="3"/>
        <v/>
      </c>
      <c r="V12" s="4" t="str">
        <f t="shared" si="4"/>
        <v/>
      </c>
      <c r="W12" s="4" t="str">
        <f t="shared" si="5"/>
        <v/>
      </c>
      <c r="X12" t="str">
        <f t="shared" si="0"/>
        <v/>
      </c>
    </row>
    <row r="13" spans="1:24">
      <c r="C13" s="1"/>
      <c r="D13" s="1"/>
      <c r="E13" s="1"/>
      <c r="F13" s="1"/>
      <c r="G13" s="11" t="str">
        <f t="shared" si="6"/>
        <v/>
      </c>
      <c r="H13" s="11" t="str">
        <f t="shared" si="1"/>
        <v/>
      </c>
      <c r="I13" s="15" t="str">
        <f>IFERROR(INDEX('2024ds'!$B$2:$B$368, MATCH($B13, '2024ds'!$A$2:$A$368, 0)), "")</f>
        <v/>
      </c>
      <c r="J13" s="1" t="str">
        <f>IFERROR(INDEX('2024ds'!$C$2:$C$368, MATCH($B13, '2024ds'!$A$2:$A$368, 0)), "")</f>
        <v/>
      </c>
      <c r="K13" s="22" t="str">
        <f>IFERROR(INDEX('2024ds'!$D$2:$D$368, MATCH($B13, '2024ds'!$A$2:$A$368, 0)), "")</f>
        <v/>
      </c>
      <c r="L13" s="21" t="str">
        <f t="shared" si="2"/>
        <v/>
      </c>
      <c r="U13" s="3" t="str">
        <f t="shared" si="3"/>
        <v/>
      </c>
      <c r="V13" s="4" t="str">
        <f t="shared" si="4"/>
        <v/>
      </c>
      <c r="W13" s="4" t="str">
        <f t="shared" si="5"/>
        <v/>
      </c>
      <c r="X13" t="str">
        <f t="shared" si="0"/>
        <v/>
      </c>
    </row>
    <row r="14" spans="1:24">
      <c r="C14" s="1"/>
      <c r="D14" s="1"/>
      <c r="E14" s="1"/>
      <c r="F14" s="1"/>
      <c r="G14" s="11" t="str">
        <f t="shared" si="6"/>
        <v/>
      </c>
      <c r="H14" s="11" t="str">
        <f t="shared" si="1"/>
        <v/>
      </c>
      <c r="I14" s="15" t="str">
        <f>IFERROR(INDEX('2024ds'!$B$2:$B$368, MATCH($B14, '2024ds'!$A$2:$A$368, 0)), "")</f>
        <v/>
      </c>
      <c r="J14" s="1" t="str">
        <f>IFERROR(INDEX('2024ds'!$C$2:$C$368, MATCH($B14, '2024ds'!$A$2:$A$368, 0)), "")</f>
        <v/>
      </c>
      <c r="K14" s="22" t="str">
        <f>IFERROR(INDEX('2024ds'!$D$2:$D$368, MATCH($B14, '2024ds'!$A$2:$A$368, 0)), "")</f>
        <v/>
      </c>
      <c r="L14" s="21" t="str">
        <f t="shared" si="2"/>
        <v/>
      </c>
      <c r="U14" s="3" t="str">
        <f t="shared" si="3"/>
        <v/>
      </c>
      <c r="V14" s="4" t="str">
        <f t="shared" si="4"/>
        <v/>
      </c>
      <c r="W14" s="4" t="str">
        <f t="shared" si="5"/>
        <v/>
      </c>
      <c r="X14" t="str">
        <f t="shared" si="0"/>
        <v/>
      </c>
    </row>
    <row r="15" spans="1:24">
      <c r="C15" s="12"/>
      <c r="D15" s="1"/>
      <c r="E15" s="1"/>
      <c r="F15" s="1"/>
      <c r="G15" s="11" t="str">
        <f t="shared" si="6"/>
        <v/>
      </c>
      <c r="H15" s="11" t="str">
        <f t="shared" si="1"/>
        <v/>
      </c>
      <c r="I15" s="15" t="str">
        <f>IFERROR(INDEX('2024ds'!$B$2:$B$368, MATCH($B15, '2024ds'!$A$2:$A$368, 0)), "")</f>
        <v/>
      </c>
      <c r="J15" s="1" t="str">
        <f>IFERROR(INDEX('2024ds'!$C$2:$C$368, MATCH($B15, '2024ds'!$A$2:$A$368, 0)), "")</f>
        <v/>
      </c>
      <c r="K15" s="22" t="str">
        <f>IFERROR(INDEX('2024ds'!$D$2:$D$368, MATCH($B15, '2024ds'!$A$2:$A$368, 0)), "")</f>
        <v/>
      </c>
      <c r="L15" s="21" t="str">
        <f t="shared" si="2"/>
        <v/>
      </c>
      <c r="U15" s="3" t="str">
        <f t="shared" si="3"/>
        <v/>
      </c>
      <c r="V15" s="4" t="str">
        <f t="shared" si="4"/>
        <v/>
      </c>
      <c r="W15" s="4" t="str">
        <f t="shared" si="5"/>
        <v/>
      </c>
      <c r="X15" t="str">
        <f t="shared" si="0"/>
        <v/>
      </c>
    </row>
    <row r="16" spans="1:24">
      <c r="C16" s="12"/>
      <c r="D16" s="1"/>
      <c r="E16" s="1"/>
      <c r="F16" s="1"/>
      <c r="G16" s="11" t="str">
        <f t="shared" si="6"/>
        <v/>
      </c>
      <c r="H16" s="11" t="str">
        <f t="shared" si="1"/>
        <v/>
      </c>
      <c r="I16" s="15" t="str">
        <f>IFERROR(INDEX('2024ds'!$B$2:$B$368, MATCH($B16, '2024ds'!$A$2:$A$368, 0)), "")</f>
        <v/>
      </c>
      <c r="J16" s="1" t="str">
        <f>IFERROR(INDEX('2024ds'!$C$2:$C$368, MATCH($B16, '2024ds'!$A$2:$A$368, 0)), "")</f>
        <v/>
      </c>
      <c r="K16" s="22" t="str">
        <f>IFERROR(INDEX('2024ds'!$D$2:$D$368, MATCH($B16, '2024ds'!$A$2:$A$368, 0)), "")</f>
        <v/>
      </c>
      <c r="L16" s="21" t="str">
        <f t="shared" si="2"/>
        <v/>
      </c>
      <c r="U16" s="3" t="str">
        <f t="shared" si="3"/>
        <v/>
      </c>
      <c r="V16" s="4" t="str">
        <f t="shared" si="4"/>
        <v/>
      </c>
      <c r="W16" s="4" t="str">
        <f t="shared" si="5"/>
        <v/>
      </c>
      <c r="X16" t="str">
        <f t="shared" si="0"/>
        <v/>
      </c>
    </row>
    <row r="17" spans="3:24">
      <c r="C17" s="12"/>
      <c r="D17" s="1"/>
      <c r="E17" s="1"/>
      <c r="F17" s="1"/>
      <c r="G17" s="11" t="str">
        <f t="shared" si="6"/>
        <v/>
      </c>
      <c r="H17" s="11" t="str">
        <f t="shared" si="1"/>
        <v/>
      </c>
      <c r="I17" s="15" t="str">
        <f>IFERROR(INDEX('2024ds'!$B$2:$B$368, MATCH($B17, '2024ds'!$A$2:$A$368, 0)), "")</f>
        <v/>
      </c>
      <c r="J17" s="1" t="str">
        <f>IFERROR(INDEX('2024ds'!$C$2:$C$368, MATCH($B17, '2024ds'!$A$2:$A$368, 0)), "")</f>
        <v/>
      </c>
      <c r="K17" s="22" t="str">
        <f>IFERROR(INDEX('2024ds'!$D$2:$D$368, MATCH($B17, '2024ds'!$A$2:$A$368, 0)), "")</f>
        <v/>
      </c>
      <c r="L17" s="21" t="str">
        <f t="shared" si="2"/>
        <v/>
      </c>
      <c r="U17" s="3" t="str">
        <f t="shared" si="3"/>
        <v/>
      </c>
      <c r="V17" s="4" t="str">
        <f t="shared" si="4"/>
        <v/>
      </c>
      <c r="W17" s="4" t="str">
        <f t="shared" si="5"/>
        <v/>
      </c>
      <c r="X17" t="str">
        <f t="shared" si="0"/>
        <v/>
      </c>
    </row>
    <row r="18" spans="3:24">
      <c r="C18" s="12"/>
      <c r="D18" s="1"/>
      <c r="E18" s="1"/>
      <c r="F18" s="1"/>
      <c r="G18" s="11" t="str">
        <f t="shared" si="6"/>
        <v/>
      </c>
      <c r="H18" s="11" t="str">
        <f t="shared" si="1"/>
        <v/>
      </c>
      <c r="I18" s="15" t="str">
        <f>IFERROR(INDEX('2024ds'!$B$2:$B$368, MATCH($B18, '2024ds'!$A$2:$A$368, 0)), "")</f>
        <v/>
      </c>
      <c r="J18" s="1" t="str">
        <f>IFERROR(INDEX('2024ds'!$C$2:$C$368, MATCH($B18, '2024ds'!$A$2:$A$368, 0)), "")</f>
        <v/>
      </c>
      <c r="K18" s="22" t="str">
        <f>IFERROR(INDEX('2024ds'!$D$2:$D$368, MATCH($B18, '2024ds'!$A$2:$A$368, 0)), "")</f>
        <v/>
      </c>
      <c r="L18" s="21" t="str">
        <f t="shared" si="2"/>
        <v/>
      </c>
      <c r="U18" s="3" t="str">
        <f t="shared" si="3"/>
        <v/>
      </c>
      <c r="V18" s="4" t="str">
        <f t="shared" si="4"/>
        <v/>
      </c>
      <c r="W18" s="4" t="str">
        <f t="shared" si="5"/>
        <v/>
      </c>
      <c r="X18" t="str">
        <f t="shared" si="0"/>
        <v/>
      </c>
    </row>
    <row r="19" spans="3:24">
      <c r="C19" s="12"/>
      <c r="D19" s="1"/>
      <c r="E19" s="1"/>
      <c r="F19" s="1"/>
      <c r="G19" s="11" t="str">
        <f t="shared" si="6"/>
        <v/>
      </c>
      <c r="H19" s="11" t="str">
        <f t="shared" si="1"/>
        <v/>
      </c>
      <c r="I19" s="15" t="str">
        <f>IFERROR(INDEX('2024ds'!$B$2:$B$368, MATCH($B19, '2024ds'!$A$2:$A$368, 0)), "")</f>
        <v/>
      </c>
      <c r="J19" s="1" t="str">
        <f>IFERROR(INDEX('2024ds'!$C$2:$C$368, MATCH($B19, '2024ds'!$A$2:$A$368, 0)), "")</f>
        <v/>
      </c>
      <c r="K19" s="22" t="str">
        <f>IFERROR(INDEX('2024ds'!$D$2:$D$368, MATCH($B19, '2024ds'!$A$2:$A$368, 0)), "")</f>
        <v/>
      </c>
      <c r="L19" s="21" t="str">
        <f t="shared" si="2"/>
        <v/>
      </c>
      <c r="U19" s="3" t="str">
        <f t="shared" si="3"/>
        <v/>
      </c>
      <c r="V19" s="4" t="str">
        <f t="shared" si="4"/>
        <v/>
      </c>
      <c r="W19" s="4" t="str">
        <f t="shared" si="5"/>
        <v/>
      </c>
      <c r="X19" t="str">
        <f t="shared" si="0"/>
        <v/>
      </c>
    </row>
    <row r="20" spans="3:24">
      <c r="C20" s="12"/>
      <c r="D20" s="1"/>
      <c r="E20" s="1"/>
      <c r="F20" s="1"/>
      <c r="G20" s="11" t="str">
        <f t="shared" si="6"/>
        <v/>
      </c>
      <c r="H20" s="11" t="str">
        <f t="shared" si="1"/>
        <v/>
      </c>
      <c r="I20" s="15" t="str">
        <f>IFERROR(INDEX('2024ds'!$B$2:$B$368, MATCH($B20, '2024ds'!$A$2:$A$368, 0)), "")</f>
        <v/>
      </c>
      <c r="J20" s="1" t="str">
        <f>IFERROR(INDEX('2024ds'!$C$2:$C$368, MATCH($B20, '2024ds'!$A$2:$A$368, 0)), "")</f>
        <v/>
      </c>
      <c r="K20" s="22" t="str">
        <f>IFERROR(INDEX('2024ds'!$D$2:$D$368, MATCH($B20, '2024ds'!$A$2:$A$368, 0)), "")</f>
        <v/>
      </c>
      <c r="L20" s="21" t="str">
        <f t="shared" si="2"/>
        <v/>
      </c>
      <c r="U20" s="3" t="str">
        <f t="shared" si="3"/>
        <v/>
      </c>
      <c r="V20" s="4" t="str">
        <f t="shared" si="4"/>
        <v/>
      </c>
      <c r="W20" s="4" t="str">
        <f t="shared" si="5"/>
        <v/>
      </c>
      <c r="X20" t="str">
        <f t="shared" si="0"/>
        <v/>
      </c>
    </row>
    <row r="21" spans="3:24">
      <c r="C21" s="12"/>
      <c r="D21" s="1"/>
      <c r="E21" s="1"/>
      <c r="F21" s="1"/>
      <c r="G21" s="11" t="str">
        <f t="shared" si="6"/>
        <v/>
      </c>
      <c r="H21" s="11" t="str">
        <f t="shared" si="1"/>
        <v/>
      </c>
      <c r="I21" s="15" t="str">
        <f>IFERROR(INDEX('2024ds'!$B$2:$B$368, MATCH($B21, '2024ds'!$A$2:$A$368, 0)), "")</f>
        <v/>
      </c>
      <c r="J21" s="1" t="str">
        <f>IFERROR(INDEX('2024ds'!$C$2:$C$368, MATCH($B21, '2024ds'!$A$2:$A$368, 0)), "")</f>
        <v/>
      </c>
      <c r="K21" s="22" t="str">
        <f>IFERROR(INDEX('2024ds'!$D$2:$D$368, MATCH($B21, '2024ds'!$A$2:$A$368, 0)), "")</f>
        <v/>
      </c>
      <c r="L21" s="21" t="str">
        <f t="shared" si="2"/>
        <v/>
      </c>
      <c r="U21" s="3" t="str">
        <f t="shared" si="3"/>
        <v/>
      </c>
      <c r="V21" s="4" t="str">
        <f t="shared" si="4"/>
        <v/>
      </c>
      <c r="W21" s="4" t="str">
        <f t="shared" si="5"/>
        <v/>
      </c>
      <c r="X21" t="str">
        <f t="shared" si="0"/>
        <v/>
      </c>
    </row>
    <row r="22" spans="3:24">
      <c r="C22" s="12"/>
      <c r="D22" s="1"/>
      <c r="E22" s="1"/>
      <c r="F22" s="1"/>
      <c r="G22" s="11" t="str">
        <f t="shared" si="6"/>
        <v/>
      </c>
      <c r="H22" s="11" t="str">
        <f t="shared" si="1"/>
        <v/>
      </c>
      <c r="I22" s="15" t="str">
        <f>IFERROR(INDEX('2024ds'!$B$2:$B$368, MATCH($B22, '2024ds'!$A$2:$A$368, 0)), "")</f>
        <v/>
      </c>
      <c r="J22" s="1" t="str">
        <f>IFERROR(INDEX('2024ds'!$C$2:$C$368, MATCH($B22, '2024ds'!$A$2:$A$368, 0)), "")</f>
        <v/>
      </c>
      <c r="K22" s="22" t="str">
        <f>IFERROR(INDEX('2024ds'!$D$2:$D$368, MATCH($B22, '2024ds'!$A$2:$A$368, 0)), "")</f>
        <v/>
      </c>
      <c r="L22" s="21" t="str">
        <f t="shared" si="2"/>
        <v/>
      </c>
      <c r="U22" s="3" t="str">
        <f t="shared" si="3"/>
        <v/>
      </c>
      <c r="V22" s="4" t="str">
        <f t="shared" si="4"/>
        <v/>
      </c>
      <c r="W22" s="4" t="str">
        <f t="shared" si="5"/>
        <v/>
      </c>
      <c r="X22" t="str">
        <f t="shared" si="0"/>
        <v/>
      </c>
    </row>
    <row r="23" spans="3:24">
      <c r="C23" s="12"/>
      <c r="D23" s="1"/>
      <c r="E23" s="1"/>
      <c r="F23" s="1"/>
      <c r="G23" s="11" t="str">
        <f t="shared" si="6"/>
        <v/>
      </c>
      <c r="H23" s="11" t="str">
        <f t="shared" si="1"/>
        <v/>
      </c>
      <c r="I23" s="15" t="str">
        <f>IFERROR(INDEX('2024ds'!$B$2:$B$368, MATCH($B23, '2024ds'!$A$2:$A$368, 0)), "")</f>
        <v/>
      </c>
      <c r="J23" s="1" t="str">
        <f>IFERROR(INDEX('2024ds'!$C$2:$C$368, MATCH($B23, '2024ds'!$A$2:$A$368, 0)), "")</f>
        <v/>
      </c>
      <c r="K23" s="22" t="str">
        <f>IFERROR(INDEX('2024ds'!$D$2:$D$368, MATCH($B23, '2024ds'!$A$2:$A$368, 0)), "")</f>
        <v/>
      </c>
      <c r="L23" s="21" t="str">
        <f t="shared" si="2"/>
        <v/>
      </c>
      <c r="U23" s="3" t="str">
        <f t="shared" si="3"/>
        <v/>
      </c>
      <c r="V23" s="4" t="str">
        <f t="shared" si="4"/>
        <v/>
      </c>
      <c r="W23" s="4" t="str">
        <f t="shared" si="5"/>
        <v/>
      </c>
      <c r="X23" t="str">
        <f t="shared" si="0"/>
        <v/>
      </c>
    </row>
    <row r="24" spans="3:24">
      <c r="C24" s="12"/>
      <c r="D24" s="1"/>
      <c r="E24" s="1"/>
      <c r="F24" s="1"/>
      <c r="G24" s="11" t="str">
        <f t="shared" si="6"/>
        <v/>
      </c>
      <c r="H24" s="11" t="str">
        <f t="shared" si="1"/>
        <v/>
      </c>
      <c r="I24" s="15" t="str">
        <f>IFERROR(INDEX('2024ds'!$B$2:$B$368, MATCH($B24, '2024ds'!$A$2:$A$368, 0)), "")</f>
        <v/>
      </c>
      <c r="J24" s="1" t="str">
        <f>IFERROR(INDEX('2024ds'!$C$2:$C$368, MATCH($B24, '2024ds'!$A$2:$A$368, 0)), "")</f>
        <v/>
      </c>
      <c r="K24" s="22" t="str">
        <f>IFERROR(INDEX('2024ds'!$D$2:$D$368, MATCH($B24, '2024ds'!$A$2:$A$368, 0)), "")</f>
        <v/>
      </c>
      <c r="L24" s="21" t="str">
        <f t="shared" si="2"/>
        <v/>
      </c>
      <c r="U24" s="3" t="str">
        <f t="shared" si="3"/>
        <v/>
      </c>
      <c r="V24" s="4" t="str">
        <f t="shared" si="4"/>
        <v/>
      </c>
      <c r="W24" s="4" t="str">
        <f t="shared" si="5"/>
        <v/>
      </c>
      <c r="X24" t="str">
        <f t="shared" si="0"/>
        <v/>
      </c>
    </row>
    <row r="25" spans="3:24">
      <c r="C25" s="12"/>
      <c r="D25" s="1"/>
      <c r="E25" s="1"/>
      <c r="F25" s="1"/>
      <c r="G25" s="11" t="str">
        <f t="shared" si="6"/>
        <v/>
      </c>
      <c r="H25" s="11" t="str">
        <f t="shared" si="1"/>
        <v/>
      </c>
      <c r="I25" s="15" t="str">
        <f>IFERROR(INDEX('2024ds'!$B$2:$B$368, MATCH($B25, '2024ds'!$A$2:$A$368, 0)), "")</f>
        <v/>
      </c>
      <c r="J25" s="1" t="str">
        <f>IFERROR(INDEX('2024ds'!$C$2:$C$368, MATCH($B25, '2024ds'!$A$2:$A$368, 0)), "")</f>
        <v/>
      </c>
      <c r="K25" s="22" t="str">
        <f>IFERROR(INDEX('2024ds'!$D$2:$D$368, MATCH($B25, '2024ds'!$A$2:$A$368, 0)), "")</f>
        <v/>
      </c>
      <c r="L25" s="21" t="str">
        <f t="shared" si="2"/>
        <v/>
      </c>
      <c r="U25" s="3" t="str">
        <f t="shared" si="3"/>
        <v/>
      </c>
      <c r="V25" s="4" t="str">
        <f t="shared" si="4"/>
        <v/>
      </c>
      <c r="W25" s="4" t="str">
        <f t="shared" si="5"/>
        <v/>
      </c>
      <c r="X25" t="str">
        <f t="shared" si="0"/>
        <v/>
      </c>
    </row>
    <row r="26" spans="3:24">
      <c r="C26" s="12"/>
      <c r="D26" s="1"/>
      <c r="E26" s="1"/>
      <c r="F26" s="1"/>
      <c r="G26" s="11" t="str">
        <f t="shared" si="6"/>
        <v/>
      </c>
      <c r="H26" s="11" t="str">
        <f t="shared" si="1"/>
        <v/>
      </c>
      <c r="I26" s="15" t="str">
        <f>IFERROR(INDEX('2024ds'!$B$2:$B$368, MATCH($B26, '2024ds'!$A$2:$A$368, 0)), "")</f>
        <v/>
      </c>
      <c r="J26" s="1" t="str">
        <f>IFERROR(INDEX('2024ds'!$C$2:$C$368, MATCH($B26, '2024ds'!$A$2:$A$368, 0)), "")</f>
        <v/>
      </c>
      <c r="K26" s="22" t="str">
        <f>IFERROR(INDEX('2024ds'!$D$2:$D$368, MATCH($B26, '2024ds'!$A$2:$A$368, 0)), "")</f>
        <v/>
      </c>
      <c r="L26" s="21" t="str">
        <f t="shared" si="2"/>
        <v/>
      </c>
      <c r="U26" s="3" t="str">
        <f t="shared" si="3"/>
        <v/>
      </c>
      <c r="V26" s="4" t="str">
        <f t="shared" si="4"/>
        <v/>
      </c>
      <c r="W26" s="4" t="str">
        <f t="shared" si="5"/>
        <v/>
      </c>
      <c r="X26" t="str">
        <f t="shared" si="0"/>
        <v/>
      </c>
    </row>
    <row r="27" spans="3:24">
      <c r="C27" s="12"/>
      <c r="D27" s="1"/>
      <c r="E27" s="1"/>
      <c r="F27" s="1"/>
      <c r="G27" s="11" t="str">
        <f t="shared" si="6"/>
        <v/>
      </c>
      <c r="H27" s="11" t="str">
        <f t="shared" si="1"/>
        <v/>
      </c>
      <c r="I27" s="15" t="str">
        <f>IFERROR(INDEX('2024ds'!$B$2:$B$368, MATCH($B27, '2024ds'!$A$2:$A$368, 0)), "")</f>
        <v/>
      </c>
      <c r="J27" s="1" t="str">
        <f>IFERROR(INDEX('2024ds'!$C$2:$C$368, MATCH($B27, '2024ds'!$A$2:$A$368, 0)), "")</f>
        <v/>
      </c>
      <c r="K27" s="22" t="str">
        <f>IFERROR(INDEX('2024ds'!$D$2:$D$368, MATCH($B27, '2024ds'!$A$2:$A$368, 0)), "")</f>
        <v/>
      </c>
      <c r="L27" s="21" t="str">
        <f t="shared" si="2"/>
        <v/>
      </c>
      <c r="U27" s="3" t="str">
        <f t="shared" si="3"/>
        <v/>
      </c>
      <c r="V27" s="4" t="str">
        <f t="shared" si="4"/>
        <v/>
      </c>
      <c r="W27" s="4" t="str">
        <f t="shared" si="5"/>
        <v/>
      </c>
      <c r="X27" t="str">
        <f t="shared" si="0"/>
        <v/>
      </c>
    </row>
    <row r="28" spans="3:24">
      <c r="C28" s="12"/>
      <c r="D28" s="1"/>
      <c r="E28" s="1"/>
      <c r="F28" s="1"/>
      <c r="G28" s="11" t="str">
        <f t="shared" si="6"/>
        <v/>
      </c>
      <c r="H28" s="11" t="str">
        <f t="shared" si="1"/>
        <v/>
      </c>
      <c r="I28" s="15" t="str">
        <f>IFERROR(INDEX('2024ds'!$B$2:$B$368, MATCH($B28, '2024ds'!$A$2:$A$368, 0)), "")</f>
        <v/>
      </c>
      <c r="J28" s="1" t="str">
        <f>IFERROR(INDEX('2024ds'!$C$2:$C$368, MATCH($B28, '2024ds'!$A$2:$A$368, 0)), "")</f>
        <v/>
      </c>
      <c r="K28" s="22" t="str">
        <f>IFERROR(INDEX('2024ds'!$D$2:$D$368, MATCH($B28, '2024ds'!$A$2:$A$368, 0)), "")</f>
        <v/>
      </c>
      <c r="L28" s="21" t="str">
        <f t="shared" si="2"/>
        <v/>
      </c>
      <c r="U28" s="3" t="str">
        <f t="shared" si="3"/>
        <v/>
      </c>
      <c r="V28" s="4" t="str">
        <f t="shared" si="4"/>
        <v/>
      </c>
      <c r="W28" s="4" t="str">
        <f t="shared" si="5"/>
        <v/>
      </c>
      <c r="X28" t="str">
        <f t="shared" si="0"/>
        <v/>
      </c>
    </row>
    <row r="29" spans="3:24">
      <c r="C29" s="12"/>
      <c r="D29" s="1"/>
      <c r="E29" s="1"/>
      <c r="F29" s="1"/>
      <c r="G29" s="11" t="str">
        <f t="shared" si="6"/>
        <v/>
      </c>
      <c r="H29" s="11" t="str">
        <f t="shared" si="1"/>
        <v/>
      </c>
      <c r="I29" s="15" t="str">
        <f>IFERROR(INDEX('2024ds'!$B$2:$B$368, MATCH($B29, '2024ds'!$A$2:$A$368, 0)), "")</f>
        <v/>
      </c>
      <c r="J29" s="1" t="str">
        <f>IFERROR(INDEX('2024ds'!$C$2:$C$368, MATCH($B29, '2024ds'!$A$2:$A$368, 0)), "")</f>
        <v/>
      </c>
      <c r="K29" s="22" t="str">
        <f>IFERROR(INDEX('2024ds'!$D$2:$D$368, MATCH($B29, '2024ds'!$A$2:$A$368, 0)), "")</f>
        <v/>
      </c>
      <c r="L29" s="21" t="str">
        <f t="shared" si="2"/>
        <v/>
      </c>
      <c r="U29" s="3" t="str">
        <f t="shared" si="3"/>
        <v/>
      </c>
      <c r="V29" s="4" t="str">
        <f t="shared" si="4"/>
        <v/>
      </c>
      <c r="W29" s="4" t="str">
        <f t="shared" si="5"/>
        <v/>
      </c>
      <c r="X29" t="str">
        <f t="shared" si="0"/>
        <v/>
      </c>
    </row>
    <row r="30" spans="3:24">
      <c r="C30" s="12"/>
      <c r="D30" s="1"/>
      <c r="E30" s="1"/>
      <c r="F30" s="1"/>
      <c r="G30" s="11" t="str">
        <f t="shared" si="6"/>
        <v/>
      </c>
      <c r="H30" s="11" t="str">
        <f t="shared" si="1"/>
        <v/>
      </c>
      <c r="I30" s="15" t="str">
        <f>IFERROR(INDEX('2024ds'!$B$2:$B$368, MATCH($B30, '2024ds'!$A$2:$A$368, 0)), "")</f>
        <v/>
      </c>
      <c r="J30" s="1" t="str">
        <f>IFERROR(INDEX('2024ds'!$C$2:$C$368, MATCH($B30, '2024ds'!$A$2:$A$368, 0)), "")</f>
        <v/>
      </c>
      <c r="K30" s="22" t="str">
        <f>IFERROR(INDEX('2024ds'!$D$2:$D$368, MATCH($B30, '2024ds'!$A$2:$A$368, 0)), "")</f>
        <v/>
      </c>
      <c r="L30" s="21" t="str">
        <f t="shared" si="2"/>
        <v/>
      </c>
      <c r="U30" s="3" t="str">
        <f t="shared" si="3"/>
        <v/>
      </c>
      <c r="V30" s="4" t="str">
        <f t="shared" si="4"/>
        <v/>
      </c>
      <c r="W30" s="4" t="str">
        <f t="shared" si="5"/>
        <v/>
      </c>
      <c r="X30" t="str">
        <f t="shared" si="0"/>
        <v/>
      </c>
    </row>
    <row r="31" spans="3:24">
      <c r="C31" s="12"/>
      <c r="D31" s="1"/>
      <c r="E31" s="1"/>
      <c r="F31" s="1"/>
      <c r="G31" s="11" t="str">
        <f t="shared" si="6"/>
        <v/>
      </c>
      <c r="H31" s="11" t="str">
        <f t="shared" si="1"/>
        <v/>
      </c>
      <c r="I31" s="15" t="str">
        <f>IFERROR(INDEX('2024ds'!$B$2:$B$368, MATCH($B31, '2024ds'!$A$2:$A$368, 0)), "")</f>
        <v/>
      </c>
      <c r="J31" s="1" t="str">
        <f>IFERROR(INDEX('2024ds'!$C$2:$C$368, MATCH($B31, '2024ds'!$A$2:$A$368, 0)), "")</f>
        <v/>
      </c>
      <c r="K31" s="22" t="str">
        <f>IFERROR(INDEX('2024ds'!$D$2:$D$368, MATCH($B31, '2024ds'!$A$2:$A$368, 0)), "")</f>
        <v/>
      </c>
      <c r="L31" s="21" t="str">
        <f t="shared" si="2"/>
        <v/>
      </c>
      <c r="U31" s="3" t="str">
        <f t="shared" si="3"/>
        <v/>
      </c>
      <c r="V31" s="4" t="str">
        <f t="shared" si="4"/>
        <v/>
      </c>
      <c r="W31" s="4" t="str">
        <f t="shared" si="5"/>
        <v/>
      </c>
      <c r="X31" t="str">
        <f t="shared" si="0"/>
        <v/>
      </c>
    </row>
    <row r="32" spans="3:24">
      <c r="C32" s="12"/>
      <c r="D32" s="1"/>
      <c r="E32" s="1"/>
      <c r="F32" s="1"/>
      <c r="G32" s="11" t="str">
        <f t="shared" si="6"/>
        <v/>
      </c>
      <c r="H32" s="11" t="str">
        <f t="shared" si="1"/>
        <v/>
      </c>
      <c r="I32" s="15" t="str">
        <f>IFERROR(INDEX('2024ds'!$B$2:$B$368, MATCH($B32, '2024ds'!$A$2:$A$368, 0)), "")</f>
        <v/>
      </c>
      <c r="J32" s="1" t="str">
        <f>IFERROR(INDEX('2024ds'!$C$2:$C$368, MATCH($B32, '2024ds'!$A$2:$A$368, 0)), "")</f>
        <v/>
      </c>
      <c r="K32" s="22" t="str">
        <f>IFERROR(INDEX('2024ds'!$D$2:$D$368, MATCH($B32, '2024ds'!$A$2:$A$368, 0)), "")</f>
        <v/>
      </c>
      <c r="L32" s="21" t="str">
        <f t="shared" si="2"/>
        <v/>
      </c>
      <c r="U32" s="3" t="str">
        <f t="shared" si="3"/>
        <v/>
      </c>
      <c r="V32" s="4" t="str">
        <f t="shared" si="4"/>
        <v/>
      </c>
      <c r="W32" s="4" t="str">
        <f t="shared" si="5"/>
        <v/>
      </c>
      <c r="X32" t="str">
        <f t="shared" si="0"/>
        <v/>
      </c>
    </row>
    <row r="33" spans="3:24">
      <c r="C33" s="12"/>
      <c r="D33" s="1"/>
      <c r="E33" s="1"/>
      <c r="F33" s="1"/>
      <c r="G33" s="11" t="str">
        <f t="shared" si="6"/>
        <v/>
      </c>
      <c r="H33" s="11" t="str">
        <f t="shared" si="1"/>
        <v/>
      </c>
      <c r="I33" s="15" t="str">
        <f>IFERROR(INDEX('2024ds'!$B$2:$B$368, MATCH($B33, '2024ds'!$A$2:$A$368, 0)), "")</f>
        <v/>
      </c>
      <c r="J33" s="1" t="str">
        <f>IFERROR(INDEX('2024ds'!$C$2:$C$368, MATCH($B33, '2024ds'!$A$2:$A$368, 0)), "")</f>
        <v/>
      </c>
      <c r="K33" s="22" t="str">
        <f>IFERROR(INDEX('2024ds'!$D$2:$D$368, MATCH($B33, '2024ds'!$A$2:$A$368, 0)), "")</f>
        <v/>
      </c>
      <c r="L33" s="21" t="str">
        <f t="shared" si="2"/>
        <v/>
      </c>
      <c r="U33" s="3" t="str">
        <f t="shared" si="3"/>
        <v/>
      </c>
      <c r="V33" s="4" t="str">
        <f t="shared" si="4"/>
        <v/>
      </c>
      <c r="W33" s="4" t="str">
        <f t="shared" si="5"/>
        <v/>
      </c>
      <c r="X33" t="str">
        <f t="shared" si="0"/>
        <v/>
      </c>
    </row>
    <row r="34" spans="3:24">
      <c r="C34" s="12"/>
      <c r="D34" s="1"/>
      <c r="E34" s="1"/>
      <c r="F34" s="1"/>
      <c r="G34" s="11" t="str">
        <f t="shared" si="6"/>
        <v/>
      </c>
      <c r="H34" s="11" t="str">
        <f t="shared" si="1"/>
        <v/>
      </c>
      <c r="I34" s="15" t="str">
        <f>IFERROR(INDEX('2024ds'!$B$2:$B$368, MATCH($B34, '2024ds'!$A$2:$A$368, 0)), "")</f>
        <v/>
      </c>
      <c r="J34" s="1" t="str">
        <f>IFERROR(INDEX('2024ds'!$C$2:$C$368, MATCH($B34, '2024ds'!$A$2:$A$368, 0)), "")</f>
        <v/>
      </c>
      <c r="K34" s="22" t="str">
        <f>IFERROR(INDEX('2024ds'!$D$2:$D$368, MATCH($B34, '2024ds'!$A$2:$A$368, 0)), "")</f>
        <v/>
      </c>
      <c r="L34" s="21" t="str">
        <f t="shared" si="2"/>
        <v/>
      </c>
      <c r="U34" s="3" t="str">
        <f t="shared" si="3"/>
        <v/>
      </c>
      <c r="V34" s="4" t="str">
        <f t="shared" si="4"/>
        <v/>
      </c>
      <c r="W34" s="4" t="str">
        <f t="shared" si="5"/>
        <v/>
      </c>
      <c r="X34" t="str">
        <f t="shared" si="0"/>
        <v/>
      </c>
    </row>
    <row r="35" spans="3:24">
      <c r="C35" s="12"/>
      <c r="D35" s="1"/>
      <c r="E35" s="1"/>
      <c r="F35" s="1"/>
      <c r="G35" s="11" t="str">
        <f t="shared" si="6"/>
        <v/>
      </c>
      <c r="H35" s="11" t="str">
        <f t="shared" si="1"/>
        <v/>
      </c>
      <c r="I35" s="15" t="str">
        <f>IFERROR(INDEX('2024ds'!$B$2:$B$368, MATCH($B35, '2024ds'!$A$2:$A$368, 0)), "")</f>
        <v/>
      </c>
      <c r="J35" s="1" t="str">
        <f>IFERROR(INDEX('2024ds'!$C$2:$C$368, MATCH($B35, '2024ds'!$A$2:$A$368, 0)), "")</f>
        <v/>
      </c>
      <c r="K35" s="22" t="str">
        <f>IFERROR(INDEX('2024ds'!$D$2:$D$368, MATCH($B35, '2024ds'!$A$2:$A$368, 0)), "")</f>
        <v/>
      </c>
      <c r="L35" s="21" t="str">
        <f t="shared" si="2"/>
        <v/>
      </c>
      <c r="U35" s="3" t="str">
        <f t="shared" si="3"/>
        <v/>
      </c>
      <c r="V35" s="4" t="str">
        <f t="shared" si="4"/>
        <v/>
      </c>
      <c r="W35" s="4" t="str">
        <f t="shared" si="5"/>
        <v/>
      </c>
      <c r="X35" t="str">
        <f t="shared" si="0"/>
        <v/>
      </c>
    </row>
    <row r="36" spans="3:24">
      <c r="C36" s="12"/>
      <c r="D36" s="1"/>
      <c r="E36" s="1"/>
      <c r="F36" s="1"/>
      <c r="G36" s="11" t="str">
        <f t="shared" si="6"/>
        <v/>
      </c>
      <c r="H36" s="11" t="str">
        <f t="shared" si="1"/>
        <v/>
      </c>
      <c r="I36" s="15" t="str">
        <f>IFERROR(INDEX('2024ds'!$B$2:$B$368, MATCH($B36, '2024ds'!$A$2:$A$368, 0)), "")</f>
        <v/>
      </c>
      <c r="J36" s="1" t="str">
        <f>IFERROR(INDEX('2024ds'!$C$2:$C$368, MATCH($B36, '2024ds'!$A$2:$A$368, 0)), "")</f>
        <v/>
      </c>
      <c r="K36" s="22" t="str">
        <f>IFERROR(INDEX('2024ds'!$D$2:$D$368, MATCH($B36, '2024ds'!$A$2:$A$368, 0)), "")</f>
        <v/>
      </c>
      <c r="L36" s="21" t="str">
        <f t="shared" si="2"/>
        <v/>
      </c>
      <c r="U36" s="3" t="str">
        <f t="shared" si="3"/>
        <v/>
      </c>
      <c r="V36" s="4" t="str">
        <f t="shared" si="4"/>
        <v/>
      </c>
      <c r="W36" s="4" t="str">
        <f t="shared" si="5"/>
        <v/>
      </c>
      <c r="X36" t="str">
        <f t="shared" si="0"/>
        <v/>
      </c>
    </row>
    <row r="37" spans="3:24">
      <c r="C37" s="12"/>
      <c r="D37" s="1"/>
      <c r="E37" s="1"/>
      <c r="F37" s="1"/>
      <c r="G37" s="11" t="str">
        <f t="shared" si="6"/>
        <v/>
      </c>
      <c r="H37" s="11" t="str">
        <f t="shared" si="1"/>
        <v/>
      </c>
      <c r="I37" s="15" t="str">
        <f>IFERROR(INDEX('2024ds'!$B$2:$B$368, MATCH($B37, '2024ds'!$A$2:$A$368, 0)), "")</f>
        <v/>
      </c>
      <c r="J37" s="1" t="str">
        <f>IFERROR(INDEX('2024ds'!$C$2:$C$368, MATCH($B37, '2024ds'!$A$2:$A$368, 0)), "")</f>
        <v/>
      </c>
      <c r="K37" s="22" t="str">
        <f>IFERROR(INDEX('2024ds'!$D$2:$D$368, MATCH($B37, '2024ds'!$A$2:$A$368, 0)), "")</f>
        <v/>
      </c>
      <c r="L37" s="21" t="str">
        <f t="shared" si="2"/>
        <v/>
      </c>
      <c r="U37" s="3" t="str">
        <f t="shared" si="3"/>
        <v/>
      </c>
      <c r="V37" s="4" t="str">
        <f t="shared" si="4"/>
        <v/>
      </c>
      <c r="W37" s="4" t="str">
        <f t="shared" si="5"/>
        <v/>
      </c>
      <c r="X37" t="str">
        <f t="shared" si="0"/>
        <v/>
      </c>
    </row>
    <row r="38" spans="3:24">
      <c r="C38" s="12"/>
      <c r="D38" s="1"/>
      <c r="E38" s="1"/>
      <c r="F38" s="1"/>
      <c r="G38" s="11" t="str">
        <f t="shared" si="6"/>
        <v/>
      </c>
      <c r="H38" s="11" t="str">
        <f t="shared" si="1"/>
        <v/>
      </c>
      <c r="I38" s="15" t="str">
        <f>IFERROR(INDEX('2024ds'!$B$2:$B$368, MATCH($B38, '2024ds'!$A$2:$A$368, 0)), "")</f>
        <v/>
      </c>
      <c r="J38" s="1" t="str">
        <f>IFERROR(INDEX('2024ds'!$C$2:$C$368, MATCH($B38, '2024ds'!$A$2:$A$368, 0)), "")</f>
        <v/>
      </c>
      <c r="K38" s="22" t="str">
        <f>IFERROR(INDEX('2024ds'!$D$2:$D$368, MATCH($B38, '2024ds'!$A$2:$A$368, 0)), "")</f>
        <v/>
      </c>
      <c r="L38" s="21" t="str">
        <f t="shared" si="2"/>
        <v/>
      </c>
      <c r="U38" s="3" t="str">
        <f t="shared" si="3"/>
        <v/>
      </c>
      <c r="V38" s="4" t="str">
        <f t="shared" si="4"/>
        <v/>
      </c>
      <c r="W38" s="4" t="str">
        <f t="shared" si="5"/>
        <v/>
      </c>
      <c r="X38" t="str">
        <f t="shared" si="0"/>
        <v/>
      </c>
    </row>
    <row r="39" spans="3:24">
      <c r="C39" s="12"/>
      <c r="D39" s="1"/>
      <c r="E39" s="1"/>
      <c r="F39" s="1"/>
      <c r="G39" s="11" t="str">
        <f t="shared" si="6"/>
        <v/>
      </c>
      <c r="H39" s="11" t="str">
        <f t="shared" si="1"/>
        <v/>
      </c>
      <c r="I39" s="15" t="str">
        <f>IFERROR(INDEX('2024ds'!$B$2:$B$368, MATCH($B39, '2024ds'!$A$2:$A$368, 0)), "")</f>
        <v/>
      </c>
      <c r="J39" s="1" t="str">
        <f>IFERROR(INDEX('2024ds'!$C$2:$C$368, MATCH($B39, '2024ds'!$A$2:$A$368, 0)), "")</f>
        <v/>
      </c>
      <c r="K39" s="22" t="str">
        <f>IFERROR(INDEX('2024ds'!$D$2:$D$368, MATCH($B39, '2024ds'!$A$2:$A$368, 0)), "")</f>
        <v/>
      </c>
      <c r="L39" s="21" t="str">
        <f t="shared" si="2"/>
        <v/>
      </c>
      <c r="U39" s="3" t="str">
        <f t="shared" si="3"/>
        <v/>
      </c>
      <c r="V39" s="4" t="str">
        <f t="shared" si="4"/>
        <v/>
      </c>
      <c r="W39" s="4" t="str">
        <f t="shared" si="5"/>
        <v/>
      </c>
      <c r="X39" t="str">
        <f t="shared" si="0"/>
        <v/>
      </c>
    </row>
    <row r="40" spans="3:24">
      <c r="C40" s="12"/>
      <c r="D40" s="1"/>
      <c r="E40" s="1"/>
      <c r="F40" s="1"/>
      <c r="G40" s="11" t="str">
        <f t="shared" ref="G40:G65" si="7">IF(X40="", "", TIMEVALUE("0:" &amp; X40))</f>
        <v/>
      </c>
      <c r="H40" s="11" t="str">
        <f t="shared" si="1"/>
        <v/>
      </c>
      <c r="I40" s="15" t="str">
        <f>IFERROR(INDEX('2024ds'!$B$2:$B$368, MATCH($B40, '2024ds'!$A$2:$A$368, 0)), "")</f>
        <v/>
      </c>
      <c r="J40" s="1" t="str">
        <f>IFERROR(INDEX('2024ds'!$C$2:$C$368, MATCH($B40, '2024ds'!$A$2:$A$368, 0)), "")</f>
        <v/>
      </c>
      <c r="K40" s="22" t="str">
        <f>IFERROR(INDEX('2024ds'!$D$2:$D$368, MATCH($B40, '2024ds'!$A$2:$A$368, 0)), "")</f>
        <v/>
      </c>
      <c r="L40" s="21" t="str">
        <f t="shared" si="2"/>
        <v/>
      </c>
      <c r="U40" s="3" t="str">
        <f t="shared" si="3"/>
        <v/>
      </c>
      <c r="V40" s="4" t="str">
        <f t="shared" si="4"/>
        <v/>
      </c>
      <c r="W40" s="4" t="str">
        <f t="shared" si="5"/>
        <v/>
      </c>
      <c r="X40" t="str">
        <f t="shared" si="0"/>
        <v/>
      </c>
    </row>
    <row r="41" spans="3:24">
      <c r="C41" s="12"/>
      <c r="D41" s="1"/>
      <c r="E41" s="1"/>
      <c r="F41" s="1"/>
      <c r="G41" s="11" t="str">
        <f t="shared" si="7"/>
        <v/>
      </c>
      <c r="H41" s="11" t="str">
        <f t="shared" si="1"/>
        <v/>
      </c>
      <c r="I41" s="15" t="str">
        <f>IFERROR(INDEX('2024ds'!$B$2:$B$368, MATCH($B41, '2024ds'!$A$2:$A$368, 0)), "")</f>
        <v/>
      </c>
      <c r="J41" s="1" t="str">
        <f>IFERROR(INDEX('2024ds'!$C$2:$C$368, MATCH($B41, '2024ds'!$A$2:$A$368, 0)), "")</f>
        <v/>
      </c>
      <c r="K41" s="22" t="str">
        <f>IFERROR(INDEX('2024ds'!$D$2:$D$368, MATCH($B41, '2024ds'!$A$2:$A$368, 0)), "")</f>
        <v/>
      </c>
      <c r="L41" s="21" t="str">
        <f t="shared" si="2"/>
        <v/>
      </c>
      <c r="U41" s="3" t="str">
        <f t="shared" si="3"/>
        <v/>
      </c>
      <c r="V41" s="4" t="str">
        <f t="shared" si="4"/>
        <v/>
      </c>
      <c r="W41" s="4" t="str">
        <f t="shared" si="5"/>
        <v/>
      </c>
      <c r="X41" t="str">
        <f t="shared" si="0"/>
        <v/>
      </c>
    </row>
    <row r="42" spans="3:24">
      <c r="C42" s="12"/>
      <c r="D42" s="1"/>
      <c r="E42" s="1"/>
      <c r="F42" s="1"/>
      <c r="G42" s="11" t="str">
        <f t="shared" si="7"/>
        <v/>
      </c>
      <c r="H42" s="11" t="str">
        <f t="shared" si="1"/>
        <v/>
      </c>
      <c r="I42" s="15" t="str">
        <f>IFERROR(INDEX('2024ds'!$B$2:$B$368, MATCH($B42, '2024ds'!$A$2:$A$368, 0)), "")</f>
        <v/>
      </c>
      <c r="J42" s="1" t="str">
        <f>IFERROR(INDEX('2024ds'!$C$2:$C$368, MATCH($B42, '2024ds'!$A$2:$A$368, 0)), "")</f>
        <v/>
      </c>
      <c r="K42" s="22" t="str">
        <f>IFERROR(INDEX('2024ds'!$D$2:$D$368, MATCH($B42, '2024ds'!$A$2:$A$368, 0)), "")</f>
        <v/>
      </c>
      <c r="L42" s="21" t="str">
        <f t="shared" si="2"/>
        <v/>
      </c>
      <c r="U42" s="3" t="str">
        <f t="shared" si="3"/>
        <v/>
      </c>
      <c r="V42" s="4" t="str">
        <f t="shared" si="4"/>
        <v/>
      </c>
      <c r="W42" s="4" t="str">
        <f t="shared" si="5"/>
        <v/>
      </c>
      <c r="X42" t="str">
        <f t="shared" si="0"/>
        <v/>
      </c>
    </row>
    <row r="43" spans="3:24">
      <c r="C43" s="12"/>
      <c r="D43" s="1"/>
      <c r="E43" s="1"/>
      <c r="F43" s="1"/>
      <c r="G43" s="11" t="str">
        <f t="shared" si="7"/>
        <v/>
      </c>
      <c r="H43" s="11" t="str">
        <f t="shared" si="1"/>
        <v/>
      </c>
      <c r="I43" s="15" t="str">
        <f>IFERROR(INDEX('2024ds'!$B$2:$B$368, MATCH($B43, '2024ds'!$A$2:$A$368, 0)), "")</f>
        <v/>
      </c>
      <c r="J43" s="1" t="str">
        <f>IFERROR(INDEX('2024ds'!$C$2:$C$368, MATCH($B43, '2024ds'!$A$2:$A$368, 0)), "")</f>
        <v/>
      </c>
      <c r="K43" s="22" t="str">
        <f>IFERROR(INDEX('2024ds'!$D$2:$D$368, MATCH($B43, '2024ds'!$A$2:$A$368, 0)), "")</f>
        <v/>
      </c>
      <c r="L43" s="21" t="str">
        <f t="shared" si="2"/>
        <v/>
      </c>
      <c r="U43" s="3" t="str">
        <f t="shared" si="3"/>
        <v/>
      </c>
      <c r="V43" s="4" t="str">
        <f t="shared" si="4"/>
        <v/>
      </c>
      <c r="W43" s="4" t="str">
        <f t="shared" si="5"/>
        <v/>
      </c>
      <c r="X43" t="str">
        <f t="shared" si="0"/>
        <v/>
      </c>
    </row>
    <row r="44" spans="3:24">
      <c r="C44" s="12"/>
      <c r="D44" s="1"/>
      <c r="E44" s="1"/>
      <c r="F44" s="1"/>
      <c r="G44" s="11" t="str">
        <f t="shared" si="7"/>
        <v/>
      </c>
      <c r="H44" s="11" t="str">
        <f t="shared" si="1"/>
        <v/>
      </c>
      <c r="I44" s="15" t="str">
        <f>IFERROR(INDEX('2024ds'!$B$2:$B$368, MATCH($B44, '2024ds'!$A$2:$A$368, 0)), "")</f>
        <v/>
      </c>
      <c r="J44" s="1" t="str">
        <f>IFERROR(INDEX('2024ds'!$C$2:$C$368, MATCH($B44, '2024ds'!$A$2:$A$368, 0)), "")</f>
        <v/>
      </c>
      <c r="K44" s="22" t="str">
        <f>IFERROR(INDEX('2024ds'!$D$2:$D$368, MATCH($B44, '2024ds'!$A$2:$A$368, 0)), "")</f>
        <v/>
      </c>
      <c r="L44" s="21" t="str">
        <f t="shared" si="2"/>
        <v/>
      </c>
      <c r="U44" s="3" t="str">
        <f t="shared" si="3"/>
        <v/>
      </c>
      <c r="V44" s="4" t="str">
        <f t="shared" si="4"/>
        <v/>
      </c>
      <c r="W44" s="4" t="str">
        <f t="shared" si="5"/>
        <v/>
      </c>
      <c r="X44" t="str">
        <f t="shared" si="0"/>
        <v/>
      </c>
    </row>
    <row r="45" spans="3:24">
      <c r="C45" s="12"/>
      <c r="D45" s="1"/>
      <c r="E45" s="1"/>
      <c r="F45" s="1"/>
      <c r="G45" s="11" t="str">
        <f t="shared" si="7"/>
        <v/>
      </c>
      <c r="H45" s="11" t="str">
        <f t="shared" si="1"/>
        <v/>
      </c>
      <c r="I45" s="15" t="str">
        <f>IFERROR(INDEX('2024ds'!$B$2:$B$368, MATCH($B45, '2024ds'!$A$2:$A$368, 0)), "")</f>
        <v/>
      </c>
      <c r="J45" s="1" t="str">
        <f>IFERROR(INDEX('2024ds'!$C$2:$C$368, MATCH($B45, '2024ds'!$A$2:$A$368, 0)), "")</f>
        <v/>
      </c>
      <c r="K45" s="22" t="str">
        <f>IFERROR(INDEX('2024ds'!$D$2:$D$368, MATCH($B45, '2024ds'!$A$2:$A$368, 0)), "")</f>
        <v/>
      </c>
      <c r="L45" s="21" t="str">
        <f t="shared" si="2"/>
        <v/>
      </c>
      <c r="U45" s="3" t="str">
        <f t="shared" si="3"/>
        <v/>
      </c>
      <c r="V45" s="4" t="str">
        <f t="shared" si="4"/>
        <v/>
      </c>
      <c r="W45" s="4" t="str">
        <f t="shared" si="5"/>
        <v/>
      </c>
      <c r="X45" t="str">
        <f t="shared" si="0"/>
        <v/>
      </c>
    </row>
    <row r="46" spans="3:24">
      <c r="C46" s="12"/>
      <c r="D46" s="1"/>
      <c r="E46" s="1"/>
      <c r="F46" s="1"/>
      <c r="G46" s="11" t="str">
        <f t="shared" si="7"/>
        <v/>
      </c>
      <c r="H46" s="11" t="str">
        <f t="shared" si="1"/>
        <v/>
      </c>
      <c r="I46" s="15" t="str">
        <f>IFERROR(INDEX('2024ds'!$B$2:$B$368, MATCH($B46, '2024ds'!$A$2:$A$368, 0)), "")</f>
        <v/>
      </c>
      <c r="J46" s="1" t="str">
        <f>IFERROR(INDEX('2024ds'!$C$2:$C$368, MATCH($B46, '2024ds'!$A$2:$A$368, 0)), "")</f>
        <v/>
      </c>
      <c r="K46" s="22" t="str">
        <f>IFERROR(INDEX('2024ds'!$D$2:$D$368, MATCH($B46, '2024ds'!$A$2:$A$368, 0)), "")</f>
        <v/>
      </c>
      <c r="L46" s="21" t="str">
        <f t="shared" si="2"/>
        <v/>
      </c>
      <c r="U46" s="3" t="str">
        <f t="shared" si="3"/>
        <v/>
      </c>
      <c r="V46" s="4" t="str">
        <f t="shared" si="4"/>
        <v/>
      </c>
      <c r="W46" s="4" t="str">
        <f t="shared" si="5"/>
        <v/>
      </c>
      <c r="X46" t="str">
        <f t="shared" si="0"/>
        <v/>
      </c>
    </row>
    <row r="47" spans="3:24">
      <c r="C47" s="12"/>
      <c r="D47" s="1"/>
      <c r="E47" s="1"/>
      <c r="F47" s="1"/>
      <c r="G47" s="11" t="str">
        <f t="shared" si="7"/>
        <v/>
      </c>
      <c r="H47" s="11" t="str">
        <f t="shared" si="1"/>
        <v/>
      </c>
      <c r="I47" s="15" t="str">
        <f>IFERROR(INDEX('2024ds'!$B$2:$B$368, MATCH($B47, '2024ds'!$A$2:$A$368, 0)), "")</f>
        <v/>
      </c>
      <c r="J47" s="1" t="str">
        <f>IFERROR(INDEX('2024ds'!$C$2:$C$368, MATCH($B47, '2024ds'!$A$2:$A$368, 0)), "")</f>
        <v/>
      </c>
      <c r="K47" s="22" t="str">
        <f>IFERROR(INDEX('2024ds'!$D$2:$D$368, MATCH($B47, '2024ds'!$A$2:$A$368, 0)), "")</f>
        <v/>
      </c>
      <c r="L47" s="21" t="str">
        <f t="shared" si="2"/>
        <v/>
      </c>
      <c r="U47" s="3" t="str">
        <f t="shared" si="3"/>
        <v/>
      </c>
      <c r="V47" s="4" t="str">
        <f t="shared" si="4"/>
        <v/>
      </c>
      <c r="W47" s="4" t="str">
        <f t="shared" si="5"/>
        <v/>
      </c>
      <c r="X47" t="str">
        <f t="shared" si="0"/>
        <v/>
      </c>
    </row>
    <row r="48" spans="3:24">
      <c r="C48" s="12"/>
      <c r="D48" s="1"/>
      <c r="E48" s="1"/>
      <c r="F48" s="1"/>
      <c r="G48" s="11" t="str">
        <f t="shared" si="7"/>
        <v/>
      </c>
      <c r="H48" s="11" t="str">
        <f t="shared" si="1"/>
        <v/>
      </c>
      <c r="I48" s="15" t="str">
        <f>IFERROR(INDEX('2024ds'!$B$2:$B$368, MATCH($B48, '2024ds'!$A$2:$A$368, 0)), "")</f>
        <v/>
      </c>
      <c r="J48" s="1" t="str">
        <f>IFERROR(INDEX('2024ds'!$C$2:$C$368, MATCH($B48, '2024ds'!$A$2:$A$368, 0)), "")</f>
        <v/>
      </c>
      <c r="K48" s="22" t="str">
        <f>IFERROR(INDEX('2024ds'!$D$2:$D$368, MATCH($B48, '2024ds'!$A$2:$A$368, 0)), "")</f>
        <v/>
      </c>
      <c r="L48" s="21" t="str">
        <f t="shared" si="2"/>
        <v/>
      </c>
      <c r="U48" s="3" t="str">
        <f t="shared" si="3"/>
        <v/>
      </c>
      <c r="V48" s="4" t="str">
        <f t="shared" si="4"/>
        <v/>
      </c>
      <c r="W48" s="4" t="str">
        <f t="shared" si="5"/>
        <v/>
      </c>
      <c r="X48" t="str">
        <f t="shared" si="0"/>
        <v/>
      </c>
    </row>
    <row r="49" spans="3:24">
      <c r="C49" s="12"/>
      <c r="D49" s="1"/>
      <c r="E49" s="1"/>
      <c r="F49" s="1"/>
      <c r="G49" s="11" t="str">
        <f t="shared" si="7"/>
        <v/>
      </c>
      <c r="H49" s="11" t="str">
        <f t="shared" si="1"/>
        <v/>
      </c>
      <c r="I49" s="15" t="str">
        <f>IFERROR(INDEX('2024ds'!$B$2:$B$368, MATCH($B49, '2024ds'!$A$2:$A$368, 0)), "")</f>
        <v/>
      </c>
      <c r="J49" s="1" t="str">
        <f>IFERROR(INDEX('2024ds'!$C$2:$C$368, MATCH($B49, '2024ds'!$A$2:$A$368, 0)), "")</f>
        <v/>
      </c>
      <c r="K49" s="22" t="str">
        <f>IFERROR(INDEX('2024ds'!$D$2:$D$368, MATCH($B49, '2024ds'!$A$2:$A$368, 0)), "")</f>
        <v/>
      </c>
      <c r="L49" s="21" t="str">
        <f t="shared" si="2"/>
        <v/>
      </c>
      <c r="U49" s="3" t="str">
        <f t="shared" si="3"/>
        <v/>
      </c>
      <c r="V49" s="4" t="str">
        <f t="shared" si="4"/>
        <v/>
      </c>
      <c r="W49" s="4" t="str">
        <f t="shared" si="5"/>
        <v/>
      </c>
      <c r="X49" t="str">
        <f t="shared" si="0"/>
        <v/>
      </c>
    </row>
    <row r="50" spans="3:24">
      <c r="C50" s="12"/>
      <c r="D50" s="1"/>
      <c r="E50" s="1"/>
      <c r="F50" s="1"/>
      <c r="G50" s="11" t="str">
        <f t="shared" si="7"/>
        <v/>
      </c>
      <c r="H50" s="11" t="str">
        <f t="shared" si="1"/>
        <v/>
      </c>
      <c r="I50" s="15" t="str">
        <f>IFERROR(INDEX('2024ds'!$B$2:$B$368, MATCH($B50, '2024ds'!$A$2:$A$368, 0)), "")</f>
        <v/>
      </c>
      <c r="J50" s="1" t="str">
        <f>IFERROR(INDEX('2024ds'!$C$2:$C$368, MATCH($B50, '2024ds'!$A$2:$A$368, 0)), "")</f>
        <v/>
      </c>
      <c r="K50" s="22" t="str">
        <f>IFERROR(INDEX('2024ds'!$D$2:$D$368, MATCH($B50, '2024ds'!$A$2:$A$368, 0)), "")</f>
        <v/>
      </c>
      <c r="L50" s="21" t="str">
        <f t="shared" si="2"/>
        <v/>
      </c>
      <c r="U50" s="3" t="str">
        <f t="shared" si="3"/>
        <v/>
      </c>
      <c r="V50" s="4" t="str">
        <f t="shared" si="4"/>
        <v/>
      </c>
      <c r="W50" s="4" t="str">
        <f t="shared" si="5"/>
        <v/>
      </c>
      <c r="X50" t="str">
        <f t="shared" si="0"/>
        <v/>
      </c>
    </row>
    <row r="51" spans="3:24">
      <c r="C51" s="12"/>
      <c r="D51" s="1"/>
      <c r="E51" s="1"/>
      <c r="F51" s="1"/>
      <c r="G51" s="11" t="str">
        <f t="shared" si="7"/>
        <v/>
      </c>
      <c r="H51" s="11" t="str">
        <f t="shared" si="1"/>
        <v/>
      </c>
      <c r="I51" s="15" t="str">
        <f>IFERROR(INDEX('2024ds'!$B$2:$B$368, MATCH($B51, '2024ds'!$A$2:$A$368, 0)), "")</f>
        <v/>
      </c>
      <c r="J51" s="1" t="str">
        <f>IFERROR(INDEX('2024ds'!$C$2:$C$368, MATCH($B51, '2024ds'!$A$2:$A$368, 0)), "")</f>
        <v/>
      </c>
      <c r="K51" s="22" t="str">
        <f>IFERROR(INDEX('2024ds'!$D$2:$D$368, MATCH($B51, '2024ds'!$A$2:$A$368, 0)), "")</f>
        <v/>
      </c>
      <c r="L51" s="21" t="str">
        <f t="shared" si="2"/>
        <v/>
      </c>
      <c r="U51" s="3" t="str">
        <f t="shared" si="3"/>
        <v/>
      </c>
      <c r="V51" s="4" t="str">
        <f t="shared" si="4"/>
        <v/>
      </c>
      <c r="W51" s="4" t="str">
        <f t="shared" si="5"/>
        <v/>
      </c>
      <c r="X51" t="str">
        <f t="shared" si="0"/>
        <v/>
      </c>
    </row>
    <row r="52" spans="3:24">
      <c r="C52" s="12"/>
      <c r="D52" s="1"/>
      <c r="E52" s="1"/>
      <c r="F52" s="1"/>
      <c r="G52" s="11" t="str">
        <f t="shared" si="7"/>
        <v/>
      </c>
      <c r="H52" s="11" t="str">
        <f t="shared" si="1"/>
        <v/>
      </c>
      <c r="I52" s="15" t="str">
        <f>IFERROR(INDEX('2024ds'!$B$2:$B$368, MATCH($B52, '2024ds'!$A$2:$A$368, 0)), "")</f>
        <v/>
      </c>
      <c r="J52" s="1" t="str">
        <f>IFERROR(INDEX('2024ds'!$C$2:$C$368, MATCH($B52, '2024ds'!$A$2:$A$368, 0)), "")</f>
        <v/>
      </c>
      <c r="K52" s="22" t="str">
        <f>IFERROR(INDEX('2024ds'!$D$2:$D$368, MATCH($B52, '2024ds'!$A$2:$A$368, 0)), "")</f>
        <v/>
      </c>
      <c r="L52" s="21" t="str">
        <f t="shared" si="2"/>
        <v/>
      </c>
      <c r="U52" s="3" t="str">
        <f t="shared" si="3"/>
        <v/>
      </c>
      <c r="V52" s="4" t="str">
        <f t="shared" si="4"/>
        <v/>
      </c>
      <c r="W52" s="4" t="str">
        <f t="shared" si="5"/>
        <v/>
      </c>
      <c r="X52" t="str">
        <f t="shared" si="0"/>
        <v/>
      </c>
    </row>
    <row r="53" spans="3:24">
      <c r="C53" s="12"/>
      <c r="D53" s="1"/>
      <c r="E53" s="1"/>
      <c r="F53" s="1"/>
      <c r="G53" s="11" t="str">
        <f t="shared" si="7"/>
        <v/>
      </c>
      <c r="H53" s="11" t="str">
        <f t="shared" si="1"/>
        <v/>
      </c>
      <c r="I53" s="15" t="str">
        <f>IFERROR(INDEX('2024ds'!$B$2:$B$368, MATCH($B53, '2024ds'!$A$2:$A$368, 0)), "")</f>
        <v/>
      </c>
      <c r="J53" s="1" t="str">
        <f>IFERROR(INDEX('2024ds'!$C$2:$C$368, MATCH($B53, '2024ds'!$A$2:$A$368, 0)), "")</f>
        <v/>
      </c>
      <c r="K53" s="22" t="str">
        <f>IFERROR(INDEX('2024ds'!$D$2:$D$368, MATCH($B53, '2024ds'!$A$2:$A$368, 0)), "")</f>
        <v/>
      </c>
      <c r="L53" s="21" t="str">
        <f t="shared" si="2"/>
        <v/>
      </c>
      <c r="U53" s="3" t="str">
        <f t="shared" si="3"/>
        <v/>
      </c>
      <c r="V53" s="4" t="str">
        <f t="shared" si="4"/>
        <v/>
      </c>
      <c r="W53" s="4" t="str">
        <f t="shared" si="5"/>
        <v/>
      </c>
      <c r="X53" t="str">
        <f t="shared" si="0"/>
        <v/>
      </c>
    </row>
    <row r="54" spans="3:24">
      <c r="C54" s="12"/>
      <c r="D54" s="1"/>
      <c r="E54" s="1"/>
      <c r="F54" s="1"/>
      <c r="G54" s="11" t="str">
        <f t="shared" si="7"/>
        <v/>
      </c>
      <c r="H54" s="11" t="str">
        <f t="shared" si="1"/>
        <v/>
      </c>
      <c r="I54" s="15" t="str">
        <f>IFERROR(INDEX('2024ds'!$B$2:$B$368, MATCH($B54, '2024ds'!$A$2:$A$368, 0)), "")</f>
        <v/>
      </c>
      <c r="J54" s="1" t="str">
        <f>IFERROR(INDEX('2024ds'!$C$2:$C$368, MATCH($B54, '2024ds'!$A$2:$A$368, 0)), "")</f>
        <v/>
      </c>
      <c r="K54" s="22" t="str">
        <f>IFERROR(INDEX('2024ds'!$D$2:$D$368, MATCH($B54, '2024ds'!$A$2:$A$368, 0)), "")</f>
        <v/>
      </c>
      <c r="L54" s="21" t="str">
        <f t="shared" si="2"/>
        <v/>
      </c>
      <c r="U54" s="3" t="str">
        <f t="shared" si="3"/>
        <v/>
      </c>
      <c r="V54" s="4" t="str">
        <f t="shared" si="4"/>
        <v/>
      </c>
      <c r="W54" s="4" t="str">
        <f t="shared" si="5"/>
        <v/>
      </c>
      <c r="X54" t="str">
        <f t="shared" si="0"/>
        <v/>
      </c>
    </row>
    <row r="55" spans="3:24">
      <c r="C55" s="12"/>
      <c r="D55" s="1"/>
      <c r="E55" s="1"/>
      <c r="F55" s="1"/>
      <c r="G55" s="11" t="str">
        <f t="shared" si="7"/>
        <v/>
      </c>
      <c r="H55" s="11" t="str">
        <f t="shared" si="1"/>
        <v/>
      </c>
      <c r="I55" s="15" t="str">
        <f>IFERROR(INDEX('2024ds'!$B$2:$B$368, MATCH($B55, '2024ds'!$A$2:$A$368, 0)), "")</f>
        <v/>
      </c>
      <c r="J55" s="1" t="str">
        <f>IFERROR(INDEX('2024ds'!$C$2:$C$368, MATCH($B55, '2024ds'!$A$2:$A$368, 0)), "")</f>
        <v/>
      </c>
      <c r="K55" s="22" t="str">
        <f>IFERROR(INDEX('2024ds'!$D$2:$D$368, MATCH($B55, '2024ds'!$A$2:$A$368, 0)), "")</f>
        <v/>
      </c>
      <c r="L55" s="21" t="str">
        <f t="shared" si="2"/>
        <v/>
      </c>
      <c r="U55" s="3" t="str">
        <f t="shared" si="3"/>
        <v/>
      </c>
      <c r="V55" s="4" t="str">
        <f t="shared" si="4"/>
        <v/>
      </c>
      <c r="W55" s="4" t="str">
        <f t="shared" si="5"/>
        <v/>
      </c>
      <c r="X55" t="str">
        <f t="shared" si="0"/>
        <v/>
      </c>
    </row>
    <row r="56" spans="3:24">
      <c r="C56" s="12"/>
      <c r="D56" s="1"/>
      <c r="E56" s="1"/>
      <c r="F56" s="1"/>
      <c r="G56" s="11" t="str">
        <f t="shared" si="7"/>
        <v/>
      </c>
      <c r="H56" s="11" t="str">
        <f t="shared" si="1"/>
        <v/>
      </c>
      <c r="I56" s="15" t="str">
        <f>IFERROR(INDEX('2024ds'!$B$2:$B$368, MATCH($B56, '2024ds'!$A$2:$A$368, 0)), "")</f>
        <v/>
      </c>
      <c r="J56" s="1" t="str">
        <f>IFERROR(INDEX('2024ds'!$C$2:$C$368, MATCH($B56, '2024ds'!$A$2:$A$368, 0)), "")</f>
        <v/>
      </c>
      <c r="K56" s="22" t="str">
        <f>IFERROR(INDEX('2024ds'!$D$2:$D$368, MATCH($B56, '2024ds'!$A$2:$A$368, 0)), "")</f>
        <v/>
      </c>
      <c r="L56" s="21" t="str">
        <f t="shared" si="2"/>
        <v/>
      </c>
      <c r="U56" s="3" t="str">
        <f t="shared" si="3"/>
        <v/>
      </c>
      <c r="V56" s="4" t="str">
        <f t="shared" si="4"/>
        <v/>
      </c>
      <c r="W56" s="4" t="str">
        <f t="shared" si="5"/>
        <v/>
      </c>
      <c r="X56" t="str">
        <f t="shared" si="0"/>
        <v/>
      </c>
    </row>
    <row r="57" spans="3:24">
      <c r="C57" s="12"/>
      <c r="D57" s="1"/>
      <c r="E57" s="1"/>
      <c r="F57" s="1"/>
      <c r="G57" s="11" t="str">
        <f t="shared" si="7"/>
        <v/>
      </c>
      <c r="H57" s="11" t="str">
        <f t="shared" si="1"/>
        <v/>
      </c>
      <c r="I57" s="15" t="str">
        <f>IFERROR(INDEX('2024ds'!$B$2:$B$368, MATCH($B57, '2024ds'!$A$2:$A$368, 0)), "")</f>
        <v/>
      </c>
      <c r="J57" s="1" t="str">
        <f>IFERROR(INDEX('2024ds'!$C$2:$C$368, MATCH($B57, '2024ds'!$A$2:$A$368, 0)), "")</f>
        <v/>
      </c>
      <c r="K57" s="22" t="str">
        <f>IFERROR(INDEX('2024ds'!$D$2:$D$368, MATCH($B57, '2024ds'!$A$2:$A$368, 0)), "")</f>
        <v/>
      </c>
      <c r="L57" s="21" t="str">
        <f t="shared" si="2"/>
        <v/>
      </c>
      <c r="U57" s="3" t="str">
        <f t="shared" si="3"/>
        <v/>
      </c>
      <c r="V57" s="4" t="str">
        <f t="shared" si="4"/>
        <v/>
      </c>
      <c r="W57" s="4" t="str">
        <f t="shared" si="5"/>
        <v/>
      </c>
      <c r="X57" t="str">
        <f t="shared" si="0"/>
        <v/>
      </c>
    </row>
    <row r="58" spans="3:24">
      <c r="C58" s="12"/>
      <c r="D58" s="1"/>
      <c r="E58" s="1"/>
      <c r="F58" s="1"/>
      <c r="G58" s="11" t="str">
        <f t="shared" si="7"/>
        <v/>
      </c>
      <c r="H58" s="11" t="str">
        <f t="shared" si="1"/>
        <v/>
      </c>
      <c r="I58" s="15" t="str">
        <f>IFERROR(INDEX('2024ds'!$B$2:$B$368, MATCH($B58, '2024ds'!$A$2:$A$368, 0)), "")</f>
        <v/>
      </c>
      <c r="J58" s="1" t="str">
        <f>IFERROR(INDEX('2024ds'!$C$2:$C$368, MATCH($B58, '2024ds'!$A$2:$A$368, 0)), "")</f>
        <v/>
      </c>
      <c r="K58" s="22" t="str">
        <f>IFERROR(INDEX('2024ds'!$D$2:$D$368, MATCH($B58, '2024ds'!$A$2:$A$368, 0)), "")</f>
        <v/>
      </c>
      <c r="L58" s="21" t="str">
        <f t="shared" si="2"/>
        <v/>
      </c>
      <c r="U58" s="3" t="str">
        <f t="shared" si="3"/>
        <v/>
      </c>
      <c r="V58" s="4" t="str">
        <f t="shared" si="4"/>
        <v/>
      </c>
      <c r="W58" s="4" t="str">
        <f t="shared" si="5"/>
        <v/>
      </c>
      <c r="X58" t="str">
        <f t="shared" si="0"/>
        <v/>
      </c>
    </row>
    <row r="59" spans="3:24">
      <c r="C59" s="12"/>
      <c r="D59" s="1"/>
      <c r="E59" s="1"/>
      <c r="F59" s="1"/>
      <c r="G59" s="11" t="str">
        <f t="shared" si="7"/>
        <v/>
      </c>
      <c r="H59" s="11" t="str">
        <f t="shared" si="1"/>
        <v/>
      </c>
      <c r="I59" s="15" t="str">
        <f>IFERROR(INDEX('2024ds'!$B$2:$B$368, MATCH($B59, '2024ds'!$A$2:$A$368, 0)), "")</f>
        <v/>
      </c>
      <c r="J59" s="1" t="str">
        <f>IFERROR(INDEX('2024ds'!$C$2:$C$368, MATCH($B59, '2024ds'!$A$2:$A$368, 0)), "")</f>
        <v/>
      </c>
      <c r="K59" s="22" t="str">
        <f>IFERROR(INDEX('2024ds'!$D$2:$D$368, MATCH($B59, '2024ds'!$A$2:$A$368, 0)), "")</f>
        <v/>
      </c>
      <c r="L59" s="21" t="str">
        <f t="shared" si="2"/>
        <v/>
      </c>
      <c r="U59" s="3" t="str">
        <f t="shared" si="3"/>
        <v/>
      </c>
      <c r="V59" s="4" t="str">
        <f t="shared" si="4"/>
        <v/>
      </c>
      <c r="W59" s="4" t="str">
        <f t="shared" si="5"/>
        <v/>
      </c>
      <c r="X59" t="str">
        <f t="shared" si="0"/>
        <v/>
      </c>
    </row>
    <row r="60" spans="3:24">
      <c r="C60" s="12"/>
      <c r="D60" s="1"/>
      <c r="E60" s="1"/>
      <c r="F60" s="1"/>
      <c r="G60" s="11" t="str">
        <f t="shared" si="7"/>
        <v/>
      </c>
      <c r="H60" s="11" t="str">
        <f t="shared" si="1"/>
        <v/>
      </c>
      <c r="I60" s="15" t="str">
        <f>IFERROR(INDEX('2024ds'!$B$2:$B$368, MATCH($B60, '2024ds'!$A$2:$A$368, 0)), "")</f>
        <v/>
      </c>
      <c r="J60" s="1" t="str">
        <f>IFERROR(INDEX('2024ds'!$C$2:$C$368, MATCH($B60, '2024ds'!$A$2:$A$368, 0)), "")</f>
        <v/>
      </c>
      <c r="K60" s="22" t="str">
        <f>IFERROR(INDEX('2024ds'!$D$2:$D$368, MATCH($B60, '2024ds'!$A$2:$A$368, 0)), "")</f>
        <v/>
      </c>
      <c r="L60" s="21" t="str">
        <f t="shared" si="2"/>
        <v/>
      </c>
      <c r="U60" s="3" t="str">
        <f t="shared" si="3"/>
        <v/>
      </c>
      <c r="V60" s="4" t="str">
        <f t="shared" si="4"/>
        <v/>
      </c>
      <c r="W60" s="4" t="str">
        <f t="shared" si="5"/>
        <v/>
      </c>
      <c r="X60" t="str">
        <f t="shared" si="0"/>
        <v/>
      </c>
    </row>
    <row r="61" spans="3:24">
      <c r="C61" s="12"/>
      <c r="D61" s="1"/>
      <c r="E61" s="1"/>
      <c r="F61" s="1"/>
      <c r="G61" s="11" t="str">
        <f t="shared" si="7"/>
        <v/>
      </c>
      <c r="H61" s="11" t="str">
        <f t="shared" si="1"/>
        <v/>
      </c>
      <c r="I61" s="15" t="str">
        <f>IFERROR(INDEX('2024ds'!$B$2:$B$368, MATCH($B61, '2024ds'!$A$2:$A$368, 0)), "")</f>
        <v/>
      </c>
      <c r="J61" s="1" t="str">
        <f>IFERROR(INDEX('2024ds'!$C$2:$C$368, MATCH($B61, '2024ds'!$A$2:$A$368, 0)), "")</f>
        <v/>
      </c>
      <c r="K61" s="22" t="str">
        <f>IFERROR(INDEX('2024ds'!$D$2:$D$368, MATCH($B61, '2024ds'!$A$2:$A$368, 0)), "")</f>
        <v/>
      </c>
      <c r="L61" s="21" t="str">
        <f t="shared" si="2"/>
        <v/>
      </c>
      <c r="U61" s="3" t="str">
        <f t="shared" si="3"/>
        <v/>
      </c>
      <c r="V61" s="4" t="str">
        <f t="shared" si="4"/>
        <v/>
      </c>
      <c r="W61" s="4" t="str">
        <f t="shared" si="5"/>
        <v/>
      </c>
      <c r="X61" t="str">
        <f t="shared" si="0"/>
        <v/>
      </c>
    </row>
    <row r="62" spans="3:24">
      <c r="C62" s="12"/>
      <c r="D62" s="1"/>
      <c r="E62" s="1"/>
      <c r="F62" s="1"/>
      <c r="G62" s="11" t="str">
        <f t="shared" si="7"/>
        <v/>
      </c>
      <c r="H62" s="11" t="str">
        <f t="shared" si="1"/>
        <v/>
      </c>
      <c r="I62" s="15" t="str">
        <f>IFERROR(INDEX('2024ds'!$B$2:$B$368, MATCH($B62, '2024ds'!$A$2:$A$368, 0)), "")</f>
        <v/>
      </c>
      <c r="J62" s="1" t="str">
        <f>IFERROR(INDEX('2024ds'!$C$2:$C$368, MATCH($B62, '2024ds'!$A$2:$A$368, 0)), "")</f>
        <v/>
      </c>
      <c r="K62" s="22" t="str">
        <f>IFERROR(INDEX('2024ds'!$D$2:$D$368, MATCH($B62, '2024ds'!$A$2:$A$368, 0)), "")</f>
        <v/>
      </c>
      <c r="L62" s="21" t="str">
        <f t="shared" si="2"/>
        <v/>
      </c>
      <c r="U62" s="3" t="str">
        <f t="shared" si="3"/>
        <v/>
      </c>
      <c r="V62" s="4" t="str">
        <f t="shared" si="4"/>
        <v/>
      </c>
      <c r="W62" s="4" t="str">
        <f t="shared" si="5"/>
        <v/>
      </c>
      <c r="X62" t="str">
        <f t="shared" si="0"/>
        <v/>
      </c>
    </row>
    <row r="63" spans="3:24">
      <c r="C63" s="12"/>
      <c r="D63" s="1"/>
      <c r="E63" s="1"/>
      <c r="F63" s="1"/>
      <c r="G63" s="11" t="str">
        <f t="shared" si="7"/>
        <v/>
      </c>
      <c r="H63" s="11" t="str">
        <f t="shared" si="1"/>
        <v/>
      </c>
      <c r="I63" s="15" t="str">
        <f>IFERROR(INDEX('2024ds'!$B$2:$B$368, MATCH($B63, '2024ds'!$A$2:$A$368, 0)), "")</f>
        <v/>
      </c>
      <c r="J63" s="1" t="str">
        <f>IFERROR(INDEX('2024ds'!$C$2:$C$368, MATCH($B63, '2024ds'!$A$2:$A$368, 0)), "")</f>
        <v/>
      </c>
      <c r="K63" s="22" t="str">
        <f>IFERROR(INDEX('2024ds'!$D$2:$D$368, MATCH($B63, '2024ds'!$A$2:$A$368, 0)), "")</f>
        <v/>
      </c>
      <c r="L63" s="21" t="str">
        <f t="shared" si="2"/>
        <v/>
      </c>
      <c r="U63" s="3" t="str">
        <f t="shared" si="3"/>
        <v/>
      </c>
      <c r="V63" s="4" t="str">
        <f t="shared" si="4"/>
        <v/>
      </c>
      <c r="W63" s="4" t="str">
        <f t="shared" si="5"/>
        <v/>
      </c>
      <c r="X63" t="str">
        <f t="shared" si="0"/>
        <v/>
      </c>
    </row>
    <row r="64" spans="3:24">
      <c r="C64" s="12"/>
      <c r="D64" s="1"/>
      <c r="E64" s="1"/>
      <c r="F64" s="1"/>
      <c r="G64" s="11" t="str">
        <f t="shared" si="7"/>
        <v/>
      </c>
      <c r="H64" s="11" t="str">
        <f t="shared" si="1"/>
        <v/>
      </c>
      <c r="I64" s="15" t="str">
        <f>IFERROR(INDEX('2024ds'!$B$2:$B$368, MATCH($B64, '2024ds'!$A$2:$A$368, 0)), "")</f>
        <v/>
      </c>
      <c r="J64" s="1" t="str">
        <f>IFERROR(INDEX('2024ds'!$C$2:$C$368, MATCH($B64, '2024ds'!$A$2:$A$368, 0)), "")</f>
        <v/>
      </c>
      <c r="K64" s="22" t="str">
        <f>IFERROR(INDEX('2024ds'!$D$2:$D$368, MATCH($B64, '2024ds'!$A$2:$A$368, 0)), "")</f>
        <v/>
      </c>
      <c r="L64" s="21" t="str">
        <f t="shared" si="2"/>
        <v/>
      </c>
      <c r="U64" s="3" t="str">
        <f t="shared" si="3"/>
        <v/>
      </c>
      <c r="V64" s="4" t="str">
        <f t="shared" si="4"/>
        <v/>
      </c>
      <c r="W64" s="4" t="str">
        <f t="shared" si="5"/>
        <v/>
      </c>
      <c r="X64" t="str">
        <f t="shared" si="0"/>
        <v/>
      </c>
    </row>
    <row r="65" spans="3:24">
      <c r="C65" s="12"/>
      <c r="D65" s="1"/>
      <c r="E65" s="1"/>
      <c r="F65" s="1"/>
      <c r="G65" s="11" t="str">
        <f t="shared" si="7"/>
        <v/>
      </c>
      <c r="H65" s="11" t="str">
        <f t="shared" si="1"/>
        <v/>
      </c>
      <c r="I65" s="15" t="str">
        <f>IFERROR(INDEX('2024ds'!$B$2:$B$368, MATCH($B65, '2024ds'!$A$2:$A$368, 0)), "")</f>
        <v/>
      </c>
      <c r="J65" s="1" t="str">
        <f>IFERROR(INDEX('2024ds'!$C$2:$C$368, MATCH($B65, '2024ds'!$A$2:$A$368, 0)), "")</f>
        <v/>
      </c>
      <c r="K65" s="22" t="str">
        <f>IFERROR(INDEX('2024ds'!$D$2:$D$368, MATCH($B65, '2024ds'!$A$2:$A$368, 0)), "")</f>
        <v/>
      </c>
      <c r="L65" s="21" t="str">
        <f t="shared" si="2"/>
        <v/>
      </c>
      <c r="U65" s="3" t="str">
        <f t="shared" si="3"/>
        <v/>
      </c>
      <c r="V65" s="4" t="str">
        <f t="shared" si="4"/>
        <v/>
      </c>
      <c r="W65" s="4" t="str">
        <f t="shared" si="5"/>
        <v/>
      </c>
      <c r="X65" t="str">
        <f t="shared" si="0"/>
        <v/>
      </c>
    </row>
    <row r="66" spans="3:24">
      <c r="C66" s="12"/>
      <c r="D66" s="1"/>
      <c r="E66" s="1"/>
      <c r="F66" s="1"/>
      <c r="G66" s="11" t="str">
        <f t="shared" ref="G66:G129" si="8">IF(X66="", "", TIMEVALUE("0:" &amp; X66))</f>
        <v/>
      </c>
      <c r="H66" s="11" t="str">
        <f t="shared" si="1"/>
        <v/>
      </c>
      <c r="I66" s="15" t="str">
        <f>IFERROR(INDEX('2024ds'!$B$2:$B$368, MATCH($B66, '2024ds'!$A$2:$A$368, 0)), "")</f>
        <v/>
      </c>
      <c r="J66" s="1" t="str">
        <f>IFERROR(INDEX('2024ds'!$C$2:$C$368, MATCH($B66, '2024ds'!$A$2:$A$368, 0)), "")</f>
        <v/>
      </c>
      <c r="K66" s="22" t="str">
        <f>IFERROR(INDEX('2024ds'!$D$2:$D$368, MATCH($B66, '2024ds'!$A$2:$A$368, 0)), "")</f>
        <v/>
      </c>
      <c r="L66" s="21" t="str">
        <f t="shared" si="2"/>
        <v/>
      </c>
      <c r="U66" s="3" t="str">
        <f t="shared" si="3"/>
        <v/>
      </c>
      <c r="V66" s="4" t="str">
        <f t="shared" si="4"/>
        <v/>
      </c>
      <c r="W66" s="4" t="str">
        <f t="shared" si="5"/>
        <v/>
      </c>
      <c r="X66" t="str">
        <f t="shared" ref="X66:X129" si="9">IF(V66="", "", IF(MOD(W66,1)*60&gt;=59.5, TEXT(INT(W66)+1, "0") &amp; ":00", TEXT(INT(W66), "0") &amp; ":" &amp; TEXT(ROUND(MOD(W66,1)*60, 0), "00")))</f>
        <v/>
      </c>
    </row>
    <row r="67" spans="3:24">
      <c r="C67" s="12"/>
      <c r="D67" s="1"/>
      <c r="E67" s="1"/>
      <c r="F67" s="1"/>
      <c r="G67" s="11" t="str">
        <f t="shared" si="8"/>
        <v/>
      </c>
      <c r="H67" s="11" t="str">
        <f t="shared" ref="H67:H130" si="10">IF(X67="", "", TIMEVALUE("0:" &amp; X67))</f>
        <v/>
      </c>
      <c r="I67" s="15" t="str">
        <f>IFERROR(INDEX('2024ds'!$B$2:$B$368, MATCH($B67, '2024ds'!$A$2:$A$368, 0)), "")</f>
        <v/>
      </c>
      <c r="J67" s="1" t="str">
        <f>IFERROR(INDEX('2024ds'!$C$2:$C$368, MATCH($B67, '2024ds'!$A$2:$A$368, 0)), "")</f>
        <v/>
      </c>
      <c r="K67" s="22" t="str">
        <f>IFERROR(INDEX('2024ds'!$D$2:$D$368, MATCH($B67, '2024ds'!$A$2:$A$368, 0)), "")</f>
        <v/>
      </c>
      <c r="L67" s="21" t="str">
        <f t="shared" ref="L67:L130" si="11">HYPERLINK("#'2024ds'!E" &amp; ROW(B67), "")</f>
        <v/>
      </c>
      <c r="U67" s="3" t="str">
        <f t="shared" ref="U67:U130" si="12">IF(C67="","",TIMEVALUE(C67))</f>
        <v/>
      </c>
      <c r="V67" s="4" t="str">
        <f t="shared" ref="V67:V130" si="13">IF(C67="","",HOUR(C67)*60 + MINUTE(C67) + SECOND(C67)/60)</f>
        <v/>
      </c>
      <c r="W67" s="4" t="str">
        <f t="shared" ref="W67:W130" si="14">IF(V67="","",V67/D67)</f>
        <v/>
      </c>
      <c r="X67" t="str">
        <f t="shared" si="9"/>
        <v/>
      </c>
    </row>
    <row r="68" spans="3:24">
      <c r="C68" s="12"/>
      <c r="D68" s="1"/>
      <c r="E68" s="1"/>
      <c r="F68" s="1"/>
      <c r="G68" s="11" t="str">
        <f t="shared" si="8"/>
        <v/>
      </c>
      <c r="H68" s="11" t="str">
        <f t="shared" si="10"/>
        <v/>
      </c>
      <c r="I68" s="15" t="str">
        <f>IFERROR(INDEX('2024ds'!$B$2:$B$368, MATCH($B68, '2024ds'!$A$2:$A$368, 0)), "")</f>
        <v/>
      </c>
      <c r="J68" s="1" t="str">
        <f>IFERROR(INDEX('2024ds'!$C$2:$C$368, MATCH($B68, '2024ds'!$A$2:$A$368, 0)), "")</f>
        <v/>
      </c>
      <c r="K68" s="22" t="str">
        <f>IFERROR(INDEX('2024ds'!$D$2:$D$368, MATCH($B68, '2024ds'!$A$2:$A$368, 0)), "")</f>
        <v/>
      </c>
      <c r="L68" s="21" t="str">
        <f t="shared" si="11"/>
        <v/>
      </c>
      <c r="U68" s="3" t="str">
        <f t="shared" si="12"/>
        <v/>
      </c>
      <c r="V68" s="4" t="str">
        <f t="shared" si="13"/>
        <v/>
      </c>
      <c r="W68" s="4" t="str">
        <f t="shared" si="14"/>
        <v/>
      </c>
      <c r="X68" t="str">
        <f t="shared" si="9"/>
        <v/>
      </c>
    </row>
    <row r="69" spans="3:24">
      <c r="C69" s="12"/>
      <c r="D69" s="1"/>
      <c r="E69" s="1"/>
      <c r="F69" s="1"/>
      <c r="G69" s="11" t="str">
        <f t="shared" si="8"/>
        <v/>
      </c>
      <c r="H69" s="11" t="str">
        <f t="shared" si="10"/>
        <v/>
      </c>
      <c r="I69" s="15" t="str">
        <f>IFERROR(INDEX('2024ds'!$B$2:$B$368, MATCH($B69, '2024ds'!$A$2:$A$368, 0)), "")</f>
        <v/>
      </c>
      <c r="J69" s="1" t="str">
        <f>IFERROR(INDEX('2024ds'!$C$2:$C$368, MATCH($B69, '2024ds'!$A$2:$A$368, 0)), "")</f>
        <v/>
      </c>
      <c r="K69" s="22" t="str">
        <f>IFERROR(INDEX('2024ds'!$D$2:$D$368, MATCH($B69, '2024ds'!$A$2:$A$368, 0)), "")</f>
        <v/>
      </c>
      <c r="L69" s="21" t="str">
        <f t="shared" si="11"/>
        <v/>
      </c>
      <c r="U69" s="3" t="str">
        <f t="shared" si="12"/>
        <v/>
      </c>
      <c r="V69" s="4" t="str">
        <f t="shared" si="13"/>
        <v/>
      </c>
      <c r="W69" s="4" t="str">
        <f t="shared" si="14"/>
        <v/>
      </c>
      <c r="X69" t="str">
        <f t="shared" si="9"/>
        <v/>
      </c>
    </row>
    <row r="70" spans="3:24">
      <c r="C70" s="12"/>
      <c r="D70" s="1"/>
      <c r="E70" s="1"/>
      <c r="F70" s="1"/>
      <c r="G70" s="11" t="str">
        <f t="shared" si="8"/>
        <v/>
      </c>
      <c r="H70" s="11" t="str">
        <f t="shared" si="10"/>
        <v/>
      </c>
      <c r="I70" s="15" t="str">
        <f>IFERROR(INDEX('2024ds'!$B$2:$B$368, MATCH($B70, '2024ds'!$A$2:$A$368, 0)), "")</f>
        <v/>
      </c>
      <c r="J70" s="1" t="str">
        <f>IFERROR(INDEX('2024ds'!$C$2:$C$368, MATCH($B70, '2024ds'!$A$2:$A$368, 0)), "")</f>
        <v/>
      </c>
      <c r="K70" s="22" t="str">
        <f>IFERROR(INDEX('2024ds'!$D$2:$D$368, MATCH($B70, '2024ds'!$A$2:$A$368, 0)), "")</f>
        <v/>
      </c>
      <c r="L70" s="21" t="str">
        <f t="shared" si="11"/>
        <v/>
      </c>
      <c r="U70" s="3" t="str">
        <f t="shared" si="12"/>
        <v/>
      </c>
      <c r="V70" s="4" t="str">
        <f t="shared" si="13"/>
        <v/>
      </c>
      <c r="W70" s="4" t="str">
        <f t="shared" si="14"/>
        <v/>
      </c>
      <c r="X70" t="str">
        <f t="shared" si="9"/>
        <v/>
      </c>
    </row>
    <row r="71" spans="3:24">
      <c r="C71" s="12"/>
      <c r="D71" s="1"/>
      <c r="E71" s="1"/>
      <c r="F71" s="1"/>
      <c r="G71" s="11" t="str">
        <f t="shared" si="8"/>
        <v/>
      </c>
      <c r="H71" s="11" t="str">
        <f t="shared" si="10"/>
        <v/>
      </c>
      <c r="I71" s="15" t="str">
        <f>IFERROR(INDEX('2024ds'!$B$2:$B$368, MATCH($B71, '2024ds'!$A$2:$A$368, 0)), "")</f>
        <v/>
      </c>
      <c r="J71" s="1" t="str">
        <f>IFERROR(INDEX('2024ds'!$C$2:$C$368, MATCH($B71, '2024ds'!$A$2:$A$368, 0)), "")</f>
        <v/>
      </c>
      <c r="K71" s="22" t="str">
        <f>IFERROR(INDEX('2024ds'!$D$2:$D$368, MATCH($B71, '2024ds'!$A$2:$A$368, 0)), "")</f>
        <v/>
      </c>
      <c r="L71" s="21" t="str">
        <f t="shared" si="11"/>
        <v/>
      </c>
      <c r="U71" s="3" t="str">
        <f t="shared" si="12"/>
        <v/>
      </c>
      <c r="V71" s="4" t="str">
        <f t="shared" si="13"/>
        <v/>
      </c>
      <c r="W71" s="4" t="str">
        <f t="shared" si="14"/>
        <v/>
      </c>
      <c r="X71" t="str">
        <f t="shared" si="9"/>
        <v/>
      </c>
    </row>
    <row r="72" spans="3:24">
      <c r="C72" s="12"/>
      <c r="D72" s="1"/>
      <c r="E72" s="1"/>
      <c r="F72" s="1"/>
      <c r="G72" s="11" t="str">
        <f t="shared" si="8"/>
        <v/>
      </c>
      <c r="H72" s="11" t="str">
        <f t="shared" si="10"/>
        <v/>
      </c>
      <c r="I72" s="15" t="str">
        <f>IFERROR(INDEX('2024ds'!$B$2:$B$368, MATCH($B72, '2024ds'!$A$2:$A$368, 0)), "")</f>
        <v/>
      </c>
      <c r="J72" s="1" t="str">
        <f>IFERROR(INDEX('2024ds'!$C$2:$C$368, MATCH($B72, '2024ds'!$A$2:$A$368, 0)), "")</f>
        <v/>
      </c>
      <c r="K72" s="22" t="str">
        <f>IFERROR(INDEX('2024ds'!$D$2:$D$368, MATCH($B72, '2024ds'!$A$2:$A$368, 0)), "")</f>
        <v/>
      </c>
      <c r="L72" s="21" t="str">
        <f t="shared" si="11"/>
        <v/>
      </c>
      <c r="U72" s="3" t="str">
        <f t="shared" si="12"/>
        <v/>
      </c>
      <c r="V72" s="4" t="str">
        <f t="shared" si="13"/>
        <v/>
      </c>
      <c r="W72" s="4" t="str">
        <f t="shared" si="14"/>
        <v/>
      </c>
      <c r="X72" t="str">
        <f t="shared" si="9"/>
        <v/>
      </c>
    </row>
    <row r="73" spans="3:24">
      <c r="C73" s="12"/>
      <c r="D73" s="1"/>
      <c r="E73" s="1"/>
      <c r="F73" s="1"/>
      <c r="G73" s="11" t="str">
        <f t="shared" si="8"/>
        <v/>
      </c>
      <c r="H73" s="11" t="str">
        <f t="shared" si="10"/>
        <v/>
      </c>
      <c r="I73" s="15" t="str">
        <f>IFERROR(INDEX('2024ds'!$B$2:$B$368, MATCH($B73, '2024ds'!$A$2:$A$368, 0)), "")</f>
        <v/>
      </c>
      <c r="J73" s="1" t="str">
        <f>IFERROR(INDEX('2024ds'!$C$2:$C$368, MATCH($B73, '2024ds'!$A$2:$A$368, 0)), "")</f>
        <v/>
      </c>
      <c r="K73" s="22" t="str">
        <f>IFERROR(INDEX('2024ds'!$D$2:$D$368, MATCH($B73, '2024ds'!$A$2:$A$368, 0)), "")</f>
        <v/>
      </c>
      <c r="L73" s="21" t="str">
        <f t="shared" si="11"/>
        <v/>
      </c>
      <c r="U73" s="3" t="str">
        <f t="shared" si="12"/>
        <v/>
      </c>
      <c r="V73" s="4" t="str">
        <f t="shared" si="13"/>
        <v/>
      </c>
      <c r="W73" s="4" t="str">
        <f t="shared" si="14"/>
        <v/>
      </c>
      <c r="X73" t="str">
        <f t="shared" si="9"/>
        <v/>
      </c>
    </row>
    <row r="74" spans="3:24">
      <c r="C74" s="12"/>
      <c r="D74" s="1"/>
      <c r="E74" s="1"/>
      <c r="F74" s="1"/>
      <c r="G74" s="11" t="str">
        <f t="shared" si="8"/>
        <v/>
      </c>
      <c r="H74" s="11" t="str">
        <f t="shared" si="10"/>
        <v/>
      </c>
      <c r="I74" s="15" t="str">
        <f>IFERROR(INDEX('2024ds'!$B$2:$B$368, MATCH($B74, '2024ds'!$A$2:$A$368, 0)), "")</f>
        <v/>
      </c>
      <c r="J74" s="1" t="str">
        <f>IFERROR(INDEX('2024ds'!$C$2:$C$368, MATCH($B74, '2024ds'!$A$2:$A$368, 0)), "")</f>
        <v/>
      </c>
      <c r="K74" s="22" t="str">
        <f>IFERROR(INDEX('2024ds'!$D$2:$D$368, MATCH($B74, '2024ds'!$A$2:$A$368, 0)), "")</f>
        <v/>
      </c>
      <c r="L74" s="21" t="str">
        <f t="shared" si="11"/>
        <v/>
      </c>
      <c r="U74" s="3" t="str">
        <f t="shared" si="12"/>
        <v/>
      </c>
      <c r="V74" s="4" t="str">
        <f t="shared" si="13"/>
        <v/>
      </c>
      <c r="W74" s="4" t="str">
        <f t="shared" si="14"/>
        <v/>
      </c>
      <c r="X74" t="str">
        <f t="shared" si="9"/>
        <v/>
      </c>
    </row>
    <row r="75" spans="3:24">
      <c r="C75" s="12"/>
      <c r="D75" s="1"/>
      <c r="E75" s="1"/>
      <c r="F75" s="1"/>
      <c r="G75" s="11" t="str">
        <f t="shared" si="8"/>
        <v/>
      </c>
      <c r="H75" s="11" t="str">
        <f t="shared" si="10"/>
        <v/>
      </c>
      <c r="I75" s="15" t="str">
        <f>IFERROR(INDEX('2024ds'!$B$2:$B$368, MATCH($B75, '2024ds'!$A$2:$A$368, 0)), "")</f>
        <v/>
      </c>
      <c r="J75" s="1" t="str">
        <f>IFERROR(INDEX('2024ds'!$C$2:$C$368, MATCH($B75, '2024ds'!$A$2:$A$368, 0)), "")</f>
        <v/>
      </c>
      <c r="K75" s="22" t="str">
        <f>IFERROR(INDEX('2024ds'!$D$2:$D$368, MATCH($B75, '2024ds'!$A$2:$A$368, 0)), "")</f>
        <v/>
      </c>
      <c r="L75" s="21" t="str">
        <f t="shared" si="11"/>
        <v/>
      </c>
      <c r="U75" s="3" t="str">
        <f t="shared" si="12"/>
        <v/>
      </c>
      <c r="V75" s="4" t="str">
        <f t="shared" si="13"/>
        <v/>
      </c>
      <c r="W75" s="4" t="str">
        <f t="shared" si="14"/>
        <v/>
      </c>
      <c r="X75" t="str">
        <f t="shared" si="9"/>
        <v/>
      </c>
    </row>
    <row r="76" spans="3:24">
      <c r="C76" s="12"/>
      <c r="D76" s="1"/>
      <c r="E76" s="1"/>
      <c r="F76" s="1"/>
      <c r="G76" s="11" t="str">
        <f t="shared" si="8"/>
        <v/>
      </c>
      <c r="H76" s="11" t="str">
        <f t="shared" si="10"/>
        <v/>
      </c>
      <c r="I76" s="15" t="str">
        <f>IFERROR(INDEX('2024ds'!$B$2:$B$368, MATCH($B76, '2024ds'!$A$2:$A$368, 0)), "")</f>
        <v/>
      </c>
      <c r="J76" s="1" t="str">
        <f>IFERROR(INDEX('2024ds'!$C$2:$C$368, MATCH($B76, '2024ds'!$A$2:$A$368, 0)), "")</f>
        <v/>
      </c>
      <c r="K76" s="22" t="str">
        <f>IFERROR(INDEX('2024ds'!$D$2:$D$368, MATCH($B76, '2024ds'!$A$2:$A$368, 0)), "")</f>
        <v/>
      </c>
      <c r="L76" s="21" t="str">
        <f t="shared" si="11"/>
        <v/>
      </c>
      <c r="U76" s="3" t="str">
        <f t="shared" si="12"/>
        <v/>
      </c>
      <c r="V76" s="4" t="str">
        <f t="shared" si="13"/>
        <v/>
      </c>
      <c r="W76" s="4" t="str">
        <f t="shared" si="14"/>
        <v/>
      </c>
      <c r="X76" t="str">
        <f t="shared" si="9"/>
        <v/>
      </c>
    </row>
    <row r="77" spans="3:24">
      <c r="C77" s="12"/>
      <c r="D77" s="1"/>
      <c r="E77" s="1"/>
      <c r="F77" s="1"/>
      <c r="G77" s="11" t="str">
        <f t="shared" si="8"/>
        <v/>
      </c>
      <c r="H77" s="11" t="str">
        <f t="shared" si="10"/>
        <v/>
      </c>
      <c r="I77" s="15" t="str">
        <f>IFERROR(INDEX('2024ds'!$B$2:$B$368, MATCH($B77, '2024ds'!$A$2:$A$368, 0)), "")</f>
        <v/>
      </c>
      <c r="J77" s="1" t="str">
        <f>IFERROR(INDEX('2024ds'!$C$2:$C$368, MATCH($B77, '2024ds'!$A$2:$A$368, 0)), "")</f>
        <v/>
      </c>
      <c r="K77" s="22" t="str">
        <f>IFERROR(INDEX('2024ds'!$D$2:$D$368, MATCH($B77, '2024ds'!$A$2:$A$368, 0)), "")</f>
        <v/>
      </c>
      <c r="L77" s="21" t="str">
        <f t="shared" si="11"/>
        <v/>
      </c>
      <c r="U77" s="3" t="str">
        <f t="shared" si="12"/>
        <v/>
      </c>
      <c r="V77" s="4" t="str">
        <f t="shared" si="13"/>
        <v/>
      </c>
      <c r="W77" s="4" t="str">
        <f t="shared" si="14"/>
        <v/>
      </c>
      <c r="X77" t="str">
        <f t="shared" si="9"/>
        <v/>
      </c>
    </row>
    <row r="78" spans="3:24">
      <c r="C78" s="12"/>
      <c r="D78" s="1"/>
      <c r="E78" s="1"/>
      <c r="F78" s="1"/>
      <c r="G78" s="11" t="str">
        <f t="shared" si="8"/>
        <v/>
      </c>
      <c r="H78" s="11" t="str">
        <f t="shared" si="10"/>
        <v/>
      </c>
      <c r="I78" s="15" t="str">
        <f>IFERROR(INDEX('2024ds'!$B$2:$B$368, MATCH($B78, '2024ds'!$A$2:$A$368, 0)), "")</f>
        <v/>
      </c>
      <c r="J78" s="1" t="str">
        <f>IFERROR(INDEX('2024ds'!$C$2:$C$368, MATCH($B78, '2024ds'!$A$2:$A$368, 0)), "")</f>
        <v/>
      </c>
      <c r="K78" s="22" t="str">
        <f>IFERROR(INDEX('2024ds'!$D$2:$D$368, MATCH($B78, '2024ds'!$A$2:$A$368, 0)), "")</f>
        <v/>
      </c>
      <c r="L78" s="21" t="str">
        <f t="shared" si="11"/>
        <v/>
      </c>
      <c r="U78" s="3" t="str">
        <f t="shared" si="12"/>
        <v/>
      </c>
      <c r="V78" s="4" t="str">
        <f t="shared" si="13"/>
        <v/>
      </c>
      <c r="W78" s="4" t="str">
        <f t="shared" si="14"/>
        <v/>
      </c>
      <c r="X78" t="str">
        <f t="shared" si="9"/>
        <v/>
      </c>
    </row>
    <row r="79" spans="3:24">
      <c r="C79" s="12"/>
      <c r="D79" s="1"/>
      <c r="E79" s="1"/>
      <c r="F79" s="1"/>
      <c r="G79" s="11" t="str">
        <f t="shared" si="8"/>
        <v/>
      </c>
      <c r="H79" s="11" t="str">
        <f t="shared" si="10"/>
        <v/>
      </c>
      <c r="I79" s="15" t="str">
        <f>IFERROR(INDEX('2024ds'!$B$2:$B$368, MATCH($B79, '2024ds'!$A$2:$A$368, 0)), "")</f>
        <v/>
      </c>
      <c r="J79" s="1" t="str">
        <f>IFERROR(INDEX('2024ds'!$C$2:$C$368, MATCH($B79, '2024ds'!$A$2:$A$368, 0)), "")</f>
        <v/>
      </c>
      <c r="K79" s="22" t="str">
        <f>IFERROR(INDEX('2024ds'!$D$2:$D$368, MATCH($B79, '2024ds'!$A$2:$A$368, 0)), "")</f>
        <v/>
      </c>
      <c r="L79" s="21" t="str">
        <f t="shared" si="11"/>
        <v/>
      </c>
      <c r="U79" s="3" t="str">
        <f t="shared" si="12"/>
        <v/>
      </c>
      <c r="V79" s="4" t="str">
        <f t="shared" si="13"/>
        <v/>
      </c>
      <c r="W79" s="4" t="str">
        <f t="shared" si="14"/>
        <v/>
      </c>
      <c r="X79" t="str">
        <f t="shared" si="9"/>
        <v/>
      </c>
    </row>
    <row r="80" spans="3:24">
      <c r="C80" s="12"/>
      <c r="D80" s="1"/>
      <c r="E80" s="1"/>
      <c r="F80" s="1"/>
      <c r="G80" s="11" t="str">
        <f t="shared" si="8"/>
        <v/>
      </c>
      <c r="H80" s="11" t="str">
        <f t="shared" si="10"/>
        <v/>
      </c>
      <c r="I80" s="15" t="str">
        <f>IFERROR(INDEX('2024ds'!$B$2:$B$368, MATCH($B80, '2024ds'!$A$2:$A$368, 0)), "")</f>
        <v/>
      </c>
      <c r="J80" s="1" t="str">
        <f>IFERROR(INDEX('2024ds'!$C$2:$C$368, MATCH($B80, '2024ds'!$A$2:$A$368, 0)), "")</f>
        <v/>
      </c>
      <c r="K80" s="22" t="str">
        <f>IFERROR(INDEX('2024ds'!$D$2:$D$368, MATCH($B80, '2024ds'!$A$2:$A$368, 0)), "")</f>
        <v/>
      </c>
      <c r="L80" s="21" t="str">
        <f t="shared" si="11"/>
        <v/>
      </c>
      <c r="U80" s="3" t="str">
        <f t="shared" si="12"/>
        <v/>
      </c>
      <c r="V80" s="4" t="str">
        <f t="shared" si="13"/>
        <v/>
      </c>
      <c r="W80" s="4" t="str">
        <f t="shared" si="14"/>
        <v/>
      </c>
      <c r="X80" t="str">
        <f t="shared" si="9"/>
        <v/>
      </c>
    </row>
    <row r="81" spans="3:24">
      <c r="C81" s="12"/>
      <c r="D81" s="1"/>
      <c r="E81" s="1"/>
      <c r="F81" s="1"/>
      <c r="G81" s="11" t="str">
        <f t="shared" si="8"/>
        <v/>
      </c>
      <c r="H81" s="11" t="str">
        <f t="shared" si="10"/>
        <v/>
      </c>
      <c r="I81" s="15" t="str">
        <f>IFERROR(INDEX('2024ds'!$B$2:$B$368, MATCH($B81, '2024ds'!$A$2:$A$368, 0)), "")</f>
        <v/>
      </c>
      <c r="J81" s="1" t="str">
        <f>IFERROR(INDEX('2024ds'!$C$2:$C$368, MATCH($B81, '2024ds'!$A$2:$A$368, 0)), "")</f>
        <v/>
      </c>
      <c r="K81" s="22" t="str">
        <f>IFERROR(INDEX('2024ds'!$D$2:$D$368, MATCH($B81, '2024ds'!$A$2:$A$368, 0)), "")</f>
        <v/>
      </c>
      <c r="L81" s="21" t="str">
        <f t="shared" si="11"/>
        <v/>
      </c>
      <c r="U81" s="3" t="str">
        <f t="shared" si="12"/>
        <v/>
      </c>
      <c r="V81" s="4" t="str">
        <f t="shared" si="13"/>
        <v/>
      </c>
      <c r="W81" s="4" t="str">
        <f t="shared" si="14"/>
        <v/>
      </c>
      <c r="X81" t="str">
        <f t="shared" si="9"/>
        <v/>
      </c>
    </row>
    <row r="82" spans="3:24">
      <c r="C82" s="12"/>
      <c r="D82" s="1"/>
      <c r="E82" s="1"/>
      <c r="F82" s="1"/>
      <c r="G82" s="11" t="str">
        <f t="shared" si="8"/>
        <v/>
      </c>
      <c r="H82" s="11" t="str">
        <f t="shared" si="10"/>
        <v/>
      </c>
      <c r="I82" s="15" t="str">
        <f>IFERROR(INDEX('2024ds'!$B$2:$B$368, MATCH($B82, '2024ds'!$A$2:$A$368, 0)), "")</f>
        <v/>
      </c>
      <c r="J82" s="1" t="str">
        <f>IFERROR(INDEX('2024ds'!$C$2:$C$368, MATCH($B82, '2024ds'!$A$2:$A$368, 0)), "")</f>
        <v/>
      </c>
      <c r="K82" s="22" t="str">
        <f>IFERROR(INDEX('2024ds'!$D$2:$D$368, MATCH($B82, '2024ds'!$A$2:$A$368, 0)), "")</f>
        <v/>
      </c>
      <c r="L82" s="21" t="str">
        <f t="shared" si="11"/>
        <v/>
      </c>
      <c r="U82" s="3" t="str">
        <f t="shared" si="12"/>
        <v/>
      </c>
      <c r="V82" s="4" t="str">
        <f t="shared" si="13"/>
        <v/>
      </c>
      <c r="W82" s="4" t="str">
        <f t="shared" si="14"/>
        <v/>
      </c>
      <c r="X82" t="str">
        <f t="shared" si="9"/>
        <v/>
      </c>
    </row>
    <row r="83" spans="3:24">
      <c r="C83" s="12"/>
      <c r="D83" s="1"/>
      <c r="E83" s="1"/>
      <c r="F83" s="1"/>
      <c r="G83" s="11" t="str">
        <f t="shared" si="8"/>
        <v/>
      </c>
      <c r="H83" s="11" t="str">
        <f t="shared" si="10"/>
        <v/>
      </c>
      <c r="I83" s="15" t="str">
        <f>IFERROR(INDEX('2024ds'!$B$2:$B$368, MATCH($B83, '2024ds'!$A$2:$A$368, 0)), "")</f>
        <v/>
      </c>
      <c r="J83" s="1" t="str">
        <f>IFERROR(INDEX('2024ds'!$C$2:$C$368, MATCH($B83, '2024ds'!$A$2:$A$368, 0)), "")</f>
        <v/>
      </c>
      <c r="K83" s="22" t="str">
        <f>IFERROR(INDEX('2024ds'!$D$2:$D$368, MATCH($B83, '2024ds'!$A$2:$A$368, 0)), "")</f>
        <v/>
      </c>
      <c r="L83" s="21" t="str">
        <f t="shared" si="11"/>
        <v/>
      </c>
      <c r="U83" s="3" t="str">
        <f t="shared" si="12"/>
        <v/>
      </c>
      <c r="V83" s="4" t="str">
        <f t="shared" si="13"/>
        <v/>
      </c>
      <c r="W83" s="4" t="str">
        <f t="shared" si="14"/>
        <v/>
      </c>
      <c r="X83" t="str">
        <f t="shared" si="9"/>
        <v/>
      </c>
    </row>
    <row r="84" spans="3:24">
      <c r="C84" s="12"/>
      <c r="D84" s="1"/>
      <c r="E84" s="1"/>
      <c r="F84" s="1"/>
      <c r="G84" s="11" t="str">
        <f t="shared" si="8"/>
        <v/>
      </c>
      <c r="H84" s="11" t="str">
        <f t="shared" si="10"/>
        <v/>
      </c>
      <c r="I84" s="15" t="str">
        <f>IFERROR(INDEX('2024ds'!$B$2:$B$368, MATCH($B84, '2024ds'!$A$2:$A$368, 0)), "")</f>
        <v/>
      </c>
      <c r="J84" s="1" t="str">
        <f>IFERROR(INDEX('2024ds'!$C$2:$C$368, MATCH($B84, '2024ds'!$A$2:$A$368, 0)), "")</f>
        <v/>
      </c>
      <c r="K84" s="22" t="str">
        <f>IFERROR(INDEX('2024ds'!$D$2:$D$368, MATCH($B84, '2024ds'!$A$2:$A$368, 0)), "")</f>
        <v/>
      </c>
      <c r="L84" s="21" t="str">
        <f t="shared" si="11"/>
        <v/>
      </c>
      <c r="U84" s="3" t="str">
        <f t="shared" si="12"/>
        <v/>
      </c>
      <c r="V84" s="4" t="str">
        <f t="shared" si="13"/>
        <v/>
      </c>
      <c r="W84" s="4" t="str">
        <f t="shared" si="14"/>
        <v/>
      </c>
      <c r="X84" t="str">
        <f t="shared" si="9"/>
        <v/>
      </c>
    </row>
    <row r="85" spans="3:24">
      <c r="C85" s="12"/>
      <c r="D85" s="1"/>
      <c r="E85" s="1"/>
      <c r="F85" s="1"/>
      <c r="G85" s="11" t="str">
        <f t="shared" si="8"/>
        <v/>
      </c>
      <c r="H85" s="11" t="str">
        <f t="shared" si="10"/>
        <v/>
      </c>
      <c r="I85" s="15" t="str">
        <f>IFERROR(INDEX('2024ds'!$B$2:$B$368, MATCH($B85, '2024ds'!$A$2:$A$368, 0)), "")</f>
        <v/>
      </c>
      <c r="J85" s="1" t="str">
        <f>IFERROR(INDEX('2024ds'!$C$2:$C$368, MATCH($B85, '2024ds'!$A$2:$A$368, 0)), "")</f>
        <v/>
      </c>
      <c r="K85" s="22" t="str">
        <f>IFERROR(INDEX('2024ds'!$D$2:$D$368, MATCH($B85, '2024ds'!$A$2:$A$368, 0)), "")</f>
        <v/>
      </c>
      <c r="L85" s="21" t="str">
        <f t="shared" si="11"/>
        <v/>
      </c>
      <c r="U85" s="3" t="str">
        <f t="shared" si="12"/>
        <v/>
      </c>
      <c r="V85" s="4" t="str">
        <f t="shared" si="13"/>
        <v/>
      </c>
      <c r="W85" s="4" t="str">
        <f t="shared" si="14"/>
        <v/>
      </c>
      <c r="X85" t="str">
        <f t="shared" si="9"/>
        <v/>
      </c>
    </row>
    <row r="86" spans="3:24">
      <c r="C86" s="12"/>
      <c r="D86" s="1"/>
      <c r="E86" s="1"/>
      <c r="F86" s="1"/>
      <c r="G86" s="11" t="str">
        <f t="shared" si="8"/>
        <v/>
      </c>
      <c r="H86" s="11" t="str">
        <f t="shared" si="10"/>
        <v/>
      </c>
      <c r="I86" s="15" t="str">
        <f>IFERROR(INDEX('2024ds'!$B$2:$B$368, MATCH($B86, '2024ds'!$A$2:$A$368, 0)), "")</f>
        <v/>
      </c>
      <c r="J86" s="1" t="str">
        <f>IFERROR(INDEX('2024ds'!$C$2:$C$368, MATCH($B86, '2024ds'!$A$2:$A$368, 0)), "")</f>
        <v/>
      </c>
      <c r="K86" s="22" t="str">
        <f>IFERROR(INDEX('2024ds'!$D$2:$D$368, MATCH($B86, '2024ds'!$A$2:$A$368, 0)), "")</f>
        <v/>
      </c>
      <c r="L86" s="21" t="str">
        <f t="shared" si="11"/>
        <v/>
      </c>
      <c r="U86" s="3" t="str">
        <f t="shared" si="12"/>
        <v/>
      </c>
      <c r="V86" s="4" t="str">
        <f t="shared" si="13"/>
        <v/>
      </c>
      <c r="W86" s="4" t="str">
        <f t="shared" si="14"/>
        <v/>
      </c>
      <c r="X86" t="str">
        <f t="shared" si="9"/>
        <v/>
      </c>
    </row>
    <row r="87" spans="3:24">
      <c r="C87" s="12"/>
      <c r="D87" s="1"/>
      <c r="E87" s="1"/>
      <c r="F87" s="1"/>
      <c r="G87" s="11" t="str">
        <f t="shared" si="8"/>
        <v/>
      </c>
      <c r="H87" s="11" t="str">
        <f t="shared" si="10"/>
        <v/>
      </c>
      <c r="I87" s="15" t="str">
        <f>IFERROR(INDEX('2024ds'!$B$2:$B$368, MATCH($B87, '2024ds'!$A$2:$A$368, 0)), "")</f>
        <v/>
      </c>
      <c r="J87" s="1" t="str">
        <f>IFERROR(INDEX('2024ds'!$C$2:$C$368, MATCH($B87, '2024ds'!$A$2:$A$368, 0)), "")</f>
        <v/>
      </c>
      <c r="K87" s="22" t="str">
        <f>IFERROR(INDEX('2024ds'!$D$2:$D$368, MATCH($B87, '2024ds'!$A$2:$A$368, 0)), "")</f>
        <v/>
      </c>
      <c r="L87" s="21" t="str">
        <f t="shared" si="11"/>
        <v/>
      </c>
      <c r="U87" s="3" t="str">
        <f t="shared" si="12"/>
        <v/>
      </c>
      <c r="V87" s="4" t="str">
        <f t="shared" si="13"/>
        <v/>
      </c>
      <c r="W87" s="4" t="str">
        <f t="shared" si="14"/>
        <v/>
      </c>
      <c r="X87" t="str">
        <f t="shared" si="9"/>
        <v/>
      </c>
    </row>
    <row r="88" spans="3:24">
      <c r="C88" s="12"/>
      <c r="D88" s="1"/>
      <c r="E88" s="1"/>
      <c r="F88" s="1"/>
      <c r="G88" s="11" t="str">
        <f t="shared" si="8"/>
        <v/>
      </c>
      <c r="H88" s="11" t="str">
        <f t="shared" si="10"/>
        <v/>
      </c>
      <c r="I88" s="15" t="str">
        <f>IFERROR(INDEX('2024ds'!$B$2:$B$368, MATCH($B88, '2024ds'!$A$2:$A$368, 0)), "")</f>
        <v/>
      </c>
      <c r="J88" s="1" t="str">
        <f>IFERROR(INDEX('2024ds'!$C$2:$C$368, MATCH($B88, '2024ds'!$A$2:$A$368, 0)), "")</f>
        <v/>
      </c>
      <c r="K88" s="22" t="str">
        <f>IFERROR(INDEX('2024ds'!$D$2:$D$368, MATCH($B88, '2024ds'!$A$2:$A$368, 0)), "")</f>
        <v/>
      </c>
      <c r="L88" s="21" t="str">
        <f t="shared" si="11"/>
        <v/>
      </c>
      <c r="U88" s="3" t="str">
        <f t="shared" si="12"/>
        <v/>
      </c>
      <c r="V88" s="4" t="str">
        <f t="shared" si="13"/>
        <v/>
      </c>
      <c r="W88" s="4" t="str">
        <f t="shared" si="14"/>
        <v/>
      </c>
      <c r="X88" t="str">
        <f t="shared" si="9"/>
        <v/>
      </c>
    </row>
    <row r="89" spans="3:24">
      <c r="C89" s="12"/>
      <c r="D89" s="1"/>
      <c r="E89" s="1"/>
      <c r="F89" s="1"/>
      <c r="G89" s="11" t="str">
        <f t="shared" si="8"/>
        <v/>
      </c>
      <c r="H89" s="11" t="str">
        <f t="shared" si="10"/>
        <v/>
      </c>
      <c r="I89" s="15" t="str">
        <f>IFERROR(INDEX('2024ds'!$B$2:$B$368, MATCH($B89, '2024ds'!$A$2:$A$368, 0)), "")</f>
        <v/>
      </c>
      <c r="J89" s="1" t="str">
        <f>IFERROR(INDEX('2024ds'!$C$2:$C$368, MATCH($B89, '2024ds'!$A$2:$A$368, 0)), "")</f>
        <v/>
      </c>
      <c r="K89" s="22" t="str">
        <f>IFERROR(INDEX('2024ds'!$D$2:$D$368, MATCH($B89, '2024ds'!$A$2:$A$368, 0)), "")</f>
        <v/>
      </c>
      <c r="L89" s="21" t="str">
        <f t="shared" si="11"/>
        <v/>
      </c>
      <c r="U89" s="3" t="str">
        <f t="shared" si="12"/>
        <v/>
      </c>
      <c r="V89" s="4" t="str">
        <f t="shared" si="13"/>
        <v/>
      </c>
      <c r="W89" s="4" t="str">
        <f t="shared" si="14"/>
        <v/>
      </c>
      <c r="X89" t="str">
        <f t="shared" si="9"/>
        <v/>
      </c>
    </row>
    <row r="90" spans="3:24">
      <c r="C90" s="12"/>
      <c r="D90" s="1"/>
      <c r="E90" s="1"/>
      <c r="F90" s="1"/>
      <c r="G90" s="11" t="str">
        <f t="shared" si="8"/>
        <v/>
      </c>
      <c r="H90" s="11" t="str">
        <f t="shared" si="10"/>
        <v/>
      </c>
      <c r="I90" s="15" t="str">
        <f>IFERROR(INDEX('2024ds'!$B$2:$B$368, MATCH($B90, '2024ds'!$A$2:$A$368, 0)), "")</f>
        <v/>
      </c>
      <c r="J90" s="1" t="str">
        <f>IFERROR(INDEX('2024ds'!$C$2:$C$368, MATCH($B90, '2024ds'!$A$2:$A$368, 0)), "")</f>
        <v/>
      </c>
      <c r="K90" s="22" t="str">
        <f>IFERROR(INDEX('2024ds'!$D$2:$D$368, MATCH($B90, '2024ds'!$A$2:$A$368, 0)), "")</f>
        <v/>
      </c>
      <c r="L90" s="21" t="str">
        <f t="shared" si="11"/>
        <v/>
      </c>
      <c r="U90" s="3" t="str">
        <f t="shared" si="12"/>
        <v/>
      </c>
      <c r="V90" s="4" t="str">
        <f t="shared" si="13"/>
        <v/>
      </c>
      <c r="W90" s="4" t="str">
        <f t="shared" si="14"/>
        <v/>
      </c>
      <c r="X90" t="str">
        <f t="shared" si="9"/>
        <v/>
      </c>
    </row>
    <row r="91" spans="3:24">
      <c r="C91" s="12"/>
      <c r="D91" s="1"/>
      <c r="E91" s="1"/>
      <c r="F91" s="1"/>
      <c r="G91" s="11" t="str">
        <f t="shared" si="8"/>
        <v/>
      </c>
      <c r="H91" s="11" t="str">
        <f t="shared" si="10"/>
        <v/>
      </c>
      <c r="I91" s="15" t="str">
        <f>IFERROR(INDEX('2024ds'!$B$2:$B$368, MATCH($B91, '2024ds'!$A$2:$A$368, 0)), "")</f>
        <v/>
      </c>
      <c r="J91" s="1" t="str">
        <f>IFERROR(INDEX('2024ds'!$C$2:$C$368, MATCH($B91, '2024ds'!$A$2:$A$368, 0)), "")</f>
        <v/>
      </c>
      <c r="K91" s="22" t="str">
        <f>IFERROR(INDEX('2024ds'!$D$2:$D$368, MATCH($B91, '2024ds'!$A$2:$A$368, 0)), "")</f>
        <v/>
      </c>
      <c r="L91" s="21" t="str">
        <f t="shared" si="11"/>
        <v/>
      </c>
      <c r="U91" s="3" t="str">
        <f t="shared" si="12"/>
        <v/>
      </c>
      <c r="V91" s="4" t="str">
        <f t="shared" si="13"/>
        <v/>
      </c>
      <c r="W91" s="4" t="str">
        <f t="shared" si="14"/>
        <v/>
      </c>
      <c r="X91" t="str">
        <f t="shared" si="9"/>
        <v/>
      </c>
    </row>
    <row r="92" spans="3:24">
      <c r="C92" s="12"/>
      <c r="D92" s="1"/>
      <c r="E92" s="1"/>
      <c r="F92" s="1"/>
      <c r="G92" s="11" t="str">
        <f t="shared" si="8"/>
        <v/>
      </c>
      <c r="H92" s="11" t="str">
        <f t="shared" si="10"/>
        <v/>
      </c>
      <c r="I92" s="15" t="str">
        <f>IFERROR(INDEX('2024ds'!$B$2:$B$368, MATCH($B92, '2024ds'!$A$2:$A$368, 0)), "")</f>
        <v/>
      </c>
      <c r="J92" s="1" t="str">
        <f>IFERROR(INDEX('2024ds'!$C$2:$C$368, MATCH($B92, '2024ds'!$A$2:$A$368, 0)), "")</f>
        <v/>
      </c>
      <c r="K92" s="22" t="str">
        <f>IFERROR(INDEX('2024ds'!$D$2:$D$368, MATCH($B92, '2024ds'!$A$2:$A$368, 0)), "")</f>
        <v/>
      </c>
      <c r="L92" s="21" t="str">
        <f t="shared" si="11"/>
        <v/>
      </c>
      <c r="U92" s="3" t="str">
        <f t="shared" si="12"/>
        <v/>
      </c>
      <c r="V92" s="4" t="str">
        <f t="shared" si="13"/>
        <v/>
      </c>
      <c r="W92" s="4" t="str">
        <f t="shared" si="14"/>
        <v/>
      </c>
      <c r="X92" t="str">
        <f t="shared" si="9"/>
        <v/>
      </c>
    </row>
    <row r="93" spans="3:24">
      <c r="C93" s="12"/>
      <c r="D93" s="1"/>
      <c r="E93" s="1"/>
      <c r="F93" s="1"/>
      <c r="G93" s="11" t="str">
        <f t="shared" si="8"/>
        <v/>
      </c>
      <c r="H93" s="11" t="str">
        <f t="shared" si="10"/>
        <v/>
      </c>
      <c r="I93" s="15" t="str">
        <f>IFERROR(INDEX('2024ds'!$B$2:$B$368, MATCH($B93, '2024ds'!$A$2:$A$368, 0)), "")</f>
        <v/>
      </c>
      <c r="J93" s="1" t="str">
        <f>IFERROR(INDEX('2024ds'!$C$2:$C$368, MATCH($B93, '2024ds'!$A$2:$A$368, 0)), "")</f>
        <v/>
      </c>
      <c r="K93" s="22" t="str">
        <f>IFERROR(INDEX('2024ds'!$D$2:$D$368, MATCH($B93, '2024ds'!$A$2:$A$368, 0)), "")</f>
        <v/>
      </c>
      <c r="L93" s="21" t="str">
        <f t="shared" si="11"/>
        <v/>
      </c>
      <c r="U93" s="3" t="str">
        <f t="shared" si="12"/>
        <v/>
      </c>
      <c r="V93" s="4" t="str">
        <f t="shared" si="13"/>
        <v/>
      </c>
      <c r="W93" s="4" t="str">
        <f t="shared" si="14"/>
        <v/>
      </c>
      <c r="X93" t="str">
        <f t="shared" si="9"/>
        <v/>
      </c>
    </row>
    <row r="94" spans="3:24">
      <c r="C94" s="12"/>
      <c r="D94" s="1"/>
      <c r="E94" s="1"/>
      <c r="F94" s="1"/>
      <c r="G94" s="11" t="str">
        <f t="shared" si="8"/>
        <v/>
      </c>
      <c r="H94" s="11" t="str">
        <f t="shared" si="10"/>
        <v/>
      </c>
      <c r="I94" s="15" t="str">
        <f>IFERROR(INDEX('2024ds'!$B$2:$B$368, MATCH($B94, '2024ds'!$A$2:$A$368, 0)), "")</f>
        <v/>
      </c>
      <c r="J94" s="1" t="str">
        <f>IFERROR(INDEX('2024ds'!$C$2:$C$368, MATCH($B94, '2024ds'!$A$2:$A$368, 0)), "")</f>
        <v/>
      </c>
      <c r="K94" s="22" t="str">
        <f>IFERROR(INDEX('2024ds'!$D$2:$D$368, MATCH($B94, '2024ds'!$A$2:$A$368, 0)), "")</f>
        <v/>
      </c>
      <c r="L94" s="21" t="str">
        <f t="shared" si="11"/>
        <v/>
      </c>
      <c r="U94" s="3" t="str">
        <f t="shared" si="12"/>
        <v/>
      </c>
      <c r="V94" s="4" t="str">
        <f t="shared" si="13"/>
        <v/>
      </c>
      <c r="W94" s="4" t="str">
        <f t="shared" si="14"/>
        <v/>
      </c>
      <c r="X94" t="str">
        <f t="shared" si="9"/>
        <v/>
      </c>
    </row>
    <row r="95" spans="3:24">
      <c r="C95" s="12"/>
      <c r="D95" s="1"/>
      <c r="E95" s="1"/>
      <c r="F95" s="1"/>
      <c r="G95" s="11" t="str">
        <f t="shared" si="8"/>
        <v/>
      </c>
      <c r="H95" s="11" t="str">
        <f t="shared" si="10"/>
        <v/>
      </c>
      <c r="I95" s="15" t="str">
        <f>IFERROR(INDEX('2024ds'!$B$2:$B$368, MATCH($B95, '2024ds'!$A$2:$A$368, 0)), "")</f>
        <v/>
      </c>
      <c r="J95" s="1" t="str">
        <f>IFERROR(INDEX('2024ds'!$C$2:$C$368, MATCH($B95, '2024ds'!$A$2:$A$368, 0)), "")</f>
        <v/>
      </c>
      <c r="K95" s="22" t="str">
        <f>IFERROR(INDEX('2024ds'!$D$2:$D$368, MATCH($B95, '2024ds'!$A$2:$A$368, 0)), "")</f>
        <v/>
      </c>
      <c r="L95" s="21" t="str">
        <f t="shared" si="11"/>
        <v/>
      </c>
      <c r="U95" s="3" t="str">
        <f t="shared" si="12"/>
        <v/>
      </c>
      <c r="V95" s="4" t="str">
        <f t="shared" si="13"/>
        <v/>
      </c>
      <c r="W95" s="4" t="str">
        <f t="shared" si="14"/>
        <v/>
      </c>
      <c r="X95" t="str">
        <f t="shared" si="9"/>
        <v/>
      </c>
    </row>
    <row r="96" spans="3:24">
      <c r="C96" s="12"/>
      <c r="D96" s="1"/>
      <c r="E96" s="1"/>
      <c r="F96" s="1"/>
      <c r="G96" s="11" t="str">
        <f t="shared" si="8"/>
        <v/>
      </c>
      <c r="H96" s="11" t="str">
        <f t="shared" si="10"/>
        <v/>
      </c>
      <c r="I96" s="15" t="str">
        <f>IFERROR(INDEX('2024ds'!$B$2:$B$368, MATCH($B96, '2024ds'!$A$2:$A$368, 0)), "")</f>
        <v/>
      </c>
      <c r="J96" s="1" t="str">
        <f>IFERROR(INDEX('2024ds'!$C$2:$C$368, MATCH($B96, '2024ds'!$A$2:$A$368, 0)), "")</f>
        <v/>
      </c>
      <c r="K96" s="22" t="str">
        <f>IFERROR(INDEX('2024ds'!$D$2:$D$368, MATCH($B96, '2024ds'!$A$2:$A$368, 0)), "")</f>
        <v/>
      </c>
      <c r="L96" s="21" t="str">
        <f t="shared" si="11"/>
        <v/>
      </c>
      <c r="U96" s="3" t="str">
        <f t="shared" si="12"/>
        <v/>
      </c>
      <c r="V96" s="4" t="str">
        <f t="shared" si="13"/>
        <v/>
      </c>
      <c r="W96" s="4" t="str">
        <f t="shared" si="14"/>
        <v/>
      </c>
      <c r="X96" t="str">
        <f t="shared" si="9"/>
        <v/>
      </c>
    </row>
    <row r="97" spans="3:24">
      <c r="C97" s="12"/>
      <c r="D97" s="1"/>
      <c r="E97" s="1"/>
      <c r="F97" s="1"/>
      <c r="G97" s="11" t="str">
        <f t="shared" si="8"/>
        <v/>
      </c>
      <c r="H97" s="11" t="str">
        <f t="shared" si="10"/>
        <v/>
      </c>
      <c r="I97" s="15" t="str">
        <f>IFERROR(INDEX('2024ds'!$B$2:$B$368, MATCH($B97, '2024ds'!$A$2:$A$368, 0)), "")</f>
        <v/>
      </c>
      <c r="J97" s="1" t="str">
        <f>IFERROR(INDEX('2024ds'!$C$2:$C$368, MATCH($B97, '2024ds'!$A$2:$A$368, 0)), "")</f>
        <v/>
      </c>
      <c r="K97" s="22" t="str">
        <f>IFERROR(INDEX('2024ds'!$D$2:$D$368, MATCH($B97, '2024ds'!$A$2:$A$368, 0)), "")</f>
        <v/>
      </c>
      <c r="L97" s="21" t="str">
        <f t="shared" si="11"/>
        <v/>
      </c>
      <c r="U97" s="3" t="str">
        <f t="shared" si="12"/>
        <v/>
      </c>
      <c r="V97" s="4" t="str">
        <f t="shared" si="13"/>
        <v/>
      </c>
      <c r="W97" s="4" t="str">
        <f t="shared" si="14"/>
        <v/>
      </c>
      <c r="X97" t="str">
        <f t="shared" si="9"/>
        <v/>
      </c>
    </row>
    <row r="98" spans="3:24">
      <c r="C98" s="12"/>
      <c r="D98" s="1"/>
      <c r="E98" s="1"/>
      <c r="F98" s="1"/>
      <c r="G98" s="11" t="str">
        <f t="shared" si="8"/>
        <v/>
      </c>
      <c r="H98" s="11" t="str">
        <f t="shared" si="10"/>
        <v/>
      </c>
      <c r="I98" s="15" t="str">
        <f>IFERROR(INDEX('2024ds'!$B$2:$B$368, MATCH($B98, '2024ds'!$A$2:$A$368, 0)), "")</f>
        <v/>
      </c>
      <c r="J98" s="1" t="str">
        <f>IFERROR(INDEX('2024ds'!$C$2:$C$368, MATCH($B98, '2024ds'!$A$2:$A$368, 0)), "")</f>
        <v/>
      </c>
      <c r="K98" s="22" t="str">
        <f>IFERROR(INDEX('2024ds'!$D$2:$D$368, MATCH($B98, '2024ds'!$A$2:$A$368, 0)), "")</f>
        <v/>
      </c>
      <c r="L98" s="21" t="str">
        <f t="shared" si="11"/>
        <v/>
      </c>
      <c r="U98" s="3" t="str">
        <f t="shared" si="12"/>
        <v/>
      </c>
      <c r="V98" s="4" t="str">
        <f t="shared" si="13"/>
        <v/>
      </c>
      <c r="W98" s="4" t="str">
        <f t="shared" si="14"/>
        <v/>
      </c>
      <c r="X98" t="str">
        <f t="shared" si="9"/>
        <v/>
      </c>
    </row>
    <row r="99" spans="3:24">
      <c r="C99" s="12"/>
      <c r="D99" s="1"/>
      <c r="E99" s="1"/>
      <c r="F99" s="1"/>
      <c r="G99" s="11" t="str">
        <f t="shared" si="8"/>
        <v/>
      </c>
      <c r="H99" s="11" t="str">
        <f t="shared" si="10"/>
        <v/>
      </c>
      <c r="I99" s="15" t="str">
        <f>IFERROR(INDEX('2024ds'!$B$2:$B$368, MATCH($B99, '2024ds'!$A$2:$A$368, 0)), "")</f>
        <v/>
      </c>
      <c r="J99" s="1" t="str">
        <f>IFERROR(INDEX('2024ds'!$C$2:$C$368, MATCH($B99, '2024ds'!$A$2:$A$368, 0)), "")</f>
        <v/>
      </c>
      <c r="K99" s="22" t="str">
        <f>IFERROR(INDEX('2024ds'!$D$2:$D$368, MATCH($B99, '2024ds'!$A$2:$A$368, 0)), "")</f>
        <v/>
      </c>
      <c r="L99" s="21" t="str">
        <f t="shared" si="11"/>
        <v/>
      </c>
      <c r="U99" s="3" t="str">
        <f t="shared" si="12"/>
        <v/>
      </c>
      <c r="V99" s="4" t="str">
        <f t="shared" si="13"/>
        <v/>
      </c>
      <c r="W99" s="4" t="str">
        <f t="shared" si="14"/>
        <v/>
      </c>
      <c r="X99" t="str">
        <f t="shared" si="9"/>
        <v/>
      </c>
    </row>
    <row r="100" spans="3:24">
      <c r="C100" s="12"/>
      <c r="D100" s="1"/>
      <c r="E100" s="1"/>
      <c r="F100" s="1"/>
      <c r="G100" s="11" t="str">
        <f t="shared" si="8"/>
        <v/>
      </c>
      <c r="H100" s="11" t="str">
        <f t="shared" si="10"/>
        <v/>
      </c>
      <c r="I100" s="15" t="str">
        <f>IFERROR(INDEX('2024ds'!$B$2:$B$368, MATCH($B100, '2024ds'!$A$2:$A$368, 0)), "")</f>
        <v/>
      </c>
      <c r="J100" s="1" t="str">
        <f>IFERROR(INDEX('2024ds'!$C$2:$C$368, MATCH($B100, '2024ds'!$A$2:$A$368, 0)), "")</f>
        <v/>
      </c>
      <c r="K100" s="22" t="str">
        <f>IFERROR(INDEX('2024ds'!$D$2:$D$368, MATCH($B100, '2024ds'!$A$2:$A$368, 0)), "")</f>
        <v/>
      </c>
      <c r="L100" s="21" t="str">
        <f t="shared" si="11"/>
        <v/>
      </c>
      <c r="U100" s="3" t="str">
        <f t="shared" si="12"/>
        <v/>
      </c>
      <c r="V100" s="4" t="str">
        <f t="shared" si="13"/>
        <v/>
      </c>
      <c r="W100" s="4" t="str">
        <f t="shared" si="14"/>
        <v/>
      </c>
      <c r="X100" t="str">
        <f t="shared" si="9"/>
        <v/>
      </c>
    </row>
    <row r="101" spans="3:24">
      <c r="C101" s="12"/>
      <c r="D101" s="1"/>
      <c r="E101" s="1"/>
      <c r="F101" s="1"/>
      <c r="G101" s="11" t="str">
        <f t="shared" si="8"/>
        <v/>
      </c>
      <c r="H101" s="11" t="str">
        <f t="shared" si="10"/>
        <v/>
      </c>
      <c r="I101" s="15" t="str">
        <f>IFERROR(INDEX('2024ds'!$B$2:$B$368, MATCH($B101, '2024ds'!$A$2:$A$368, 0)), "")</f>
        <v/>
      </c>
      <c r="J101" s="1" t="str">
        <f>IFERROR(INDEX('2024ds'!$C$2:$C$368, MATCH($B101, '2024ds'!$A$2:$A$368, 0)), "")</f>
        <v/>
      </c>
      <c r="K101" s="22" t="str">
        <f>IFERROR(INDEX('2024ds'!$D$2:$D$368, MATCH($B101, '2024ds'!$A$2:$A$368, 0)), "")</f>
        <v/>
      </c>
      <c r="L101" s="21" t="str">
        <f t="shared" si="11"/>
        <v/>
      </c>
      <c r="U101" s="3" t="str">
        <f t="shared" si="12"/>
        <v/>
      </c>
      <c r="V101" s="4" t="str">
        <f t="shared" si="13"/>
        <v/>
      </c>
      <c r="W101" s="4" t="str">
        <f t="shared" si="14"/>
        <v/>
      </c>
      <c r="X101" t="str">
        <f t="shared" si="9"/>
        <v/>
      </c>
    </row>
    <row r="102" spans="3:24">
      <c r="C102" s="12"/>
      <c r="D102" s="1"/>
      <c r="E102" s="1"/>
      <c r="F102" s="1"/>
      <c r="G102" s="11" t="str">
        <f t="shared" si="8"/>
        <v/>
      </c>
      <c r="H102" s="11" t="str">
        <f t="shared" si="10"/>
        <v/>
      </c>
      <c r="I102" s="15" t="str">
        <f>IFERROR(INDEX('2024ds'!$B$2:$B$368, MATCH($B102, '2024ds'!$A$2:$A$368, 0)), "")</f>
        <v/>
      </c>
      <c r="J102" s="1" t="str">
        <f>IFERROR(INDEX('2024ds'!$C$2:$C$368, MATCH($B102, '2024ds'!$A$2:$A$368, 0)), "")</f>
        <v/>
      </c>
      <c r="K102" s="22" t="str">
        <f>IFERROR(INDEX('2024ds'!$D$2:$D$368, MATCH($B102, '2024ds'!$A$2:$A$368, 0)), "")</f>
        <v/>
      </c>
      <c r="L102" s="21" t="str">
        <f t="shared" si="11"/>
        <v/>
      </c>
      <c r="U102" s="3" t="str">
        <f t="shared" si="12"/>
        <v/>
      </c>
      <c r="V102" s="4" t="str">
        <f t="shared" si="13"/>
        <v/>
      </c>
      <c r="W102" s="4" t="str">
        <f t="shared" si="14"/>
        <v/>
      </c>
      <c r="X102" t="str">
        <f t="shared" si="9"/>
        <v/>
      </c>
    </row>
    <row r="103" spans="3:24">
      <c r="C103" s="12"/>
      <c r="D103" s="1"/>
      <c r="E103" s="1"/>
      <c r="F103" s="1"/>
      <c r="G103" s="11" t="str">
        <f t="shared" si="8"/>
        <v/>
      </c>
      <c r="H103" s="11" t="str">
        <f t="shared" si="10"/>
        <v/>
      </c>
      <c r="I103" s="15" t="str">
        <f>IFERROR(INDEX('2024ds'!$B$2:$B$368, MATCH($B103, '2024ds'!$A$2:$A$368, 0)), "")</f>
        <v/>
      </c>
      <c r="J103" s="1" t="str">
        <f>IFERROR(INDEX('2024ds'!$C$2:$C$368, MATCH($B103, '2024ds'!$A$2:$A$368, 0)), "")</f>
        <v/>
      </c>
      <c r="K103" s="22" t="str">
        <f>IFERROR(INDEX('2024ds'!$D$2:$D$368, MATCH($B103, '2024ds'!$A$2:$A$368, 0)), "")</f>
        <v/>
      </c>
      <c r="L103" s="21" t="str">
        <f t="shared" si="11"/>
        <v/>
      </c>
      <c r="U103" s="3" t="str">
        <f t="shared" si="12"/>
        <v/>
      </c>
      <c r="V103" s="4" t="str">
        <f t="shared" si="13"/>
        <v/>
      </c>
      <c r="W103" s="4" t="str">
        <f t="shared" si="14"/>
        <v/>
      </c>
      <c r="X103" t="str">
        <f t="shared" si="9"/>
        <v/>
      </c>
    </row>
    <row r="104" spans="3:24">
      <c r="C104" s="12"/>
      <c r="D104" s="1"/>
      <c r="E104" s="1"/>
      <c r="F104" s="1"/>
      <c r="G104" s="11" t="str">
        <f t="shared" si="8"/>
        <v/>
      </c>
      <c r="H104" s="11" t="str">
        <f t="shared" si="10"/>
        <v/>
      </c>
      <c r="I104" s="15" t="str">
        <f>IFERROR(INDEX('2024ds'!$B$2:$B$368, MATCH($B104, '2024ds'!$A$2:$A$368, 0)), "")</f>
        <v/>
      </c>
      <c r="J104" s="1" t="str">
        <f>IFERROR(INDEX('2024ds'!$C$2:$C$368, MATCH($B104, '2024ds'!$A$2:$A$368, 0)), "")</f>
        <v/>
      </c>
      <c r="K104" s="22" t="str">
        <f>IFERROR(INDEX('2024ds'!$D$2:$D$368, MATCH($B104, '2024ds'!$A$2:$A$368, 0)), "")</f>
        <v/>
      </c>
      <c r="L104" s="21" t="str">
        <f t="shared" si="11"/>
        <v/>
      </c>
      <c r="U104" s="3" t="str">
        <f t="shared" si="12"/>
        <v/>
      </c>
      <c r="V104" s="4" t="str">
        <f t="shared" si="13"/>
        <v/>
      </c>
      <c r="W104" s="4" t="str">
        <f t="shared" si="14"/>
        <v/>
      </c>
      <c r="X104" t="str">
        <f t="shared" si="9"/>
        <v/>
      </c>
    </row>
    <row r="105" spans="3:24">
      <c r="C105" s="12"/>
      <c r="D105" s="1"/>
      <c r="E105" s="1"/>
      <c r="F105" s="1"/>
      <c r="G105" s="11" t="str">
        <f t="shared" si="8"/>
        <v/>
      </c>
      <c r="H105" s="11" t="str">
        <f t="shared" si="10"/>
        <v/>
      </c>
      <c r="I105" s="15" t="str">
        <f>IFERROR(INDEX('2024ds'!$B$2:$B$368, MATCH($B105, '2024ds'!$A$2:$A$368, 0)), "")</f>
        <v/>
      </c>
      <c r="J105" s="1" t="str">
        <f>IFERROR(INDEX('2024ds'!$C$2:$C$368, MATCH($B105, '2024ds'!$A$2:$A$368, 0)), "")</f>
        <v/>
      </c>
      <c r="K105" s="22" t="str">
        <f>IFERROR(INDEX('2024ds'!$D$2:$D$368, MATCH($B105, '2024ds'!$A$2:$A$368, 0)), "")</f>
        <v/>
      </c>
      <c r="L105" s="21" t="str">
        <f t="shared" si="11"/>
        <v/>
      </c>
      <c r="U105" s="3" t="str">
        <f t="shared" si="12"/>
        <v/>
      </c>
      <c r="V105" s="4" t="str">
        <f t="shared" si="13"/>
        <v/>
      </c>
      <c r="W105" s="4" t="str">
        <f t="shared" si="14"/>
        <v/>
      </c>
      <c r="X105" t="str">
        <f t="shared" si="9"/>
        <v/>
      </c>
    </row>
    <row r="106" spans="3:24">
      <c r="C106" s="12"/>
      <c r="D106" s="1"/>
      <c r="E106" s="1"/>
      <c r="F106" s="1"/>
      <c r="G106" s="11" t="str">
        <f t="shared" si="8"/>
        <v/>
      </c>
      <c r="H106" s="11" t="str">
        <f t="shared" si="10"/>
        <v/>
      </c>
      <c r="I106" s="15" t="str">
        <f>IFERROR(INDEX('2024ds'!$B$2:$B$368, MATCH($B106, '2024ds'!$A$2:$A$368, 0)), "")</f>
        <v/>
      </c>
      <c r="J106" s="1" t="str">
        <f>IFERROR(INDEX('2024ds'!$C$2:$C$368, MATCH($B106, '2024ds'!$A$2:$A$368, 0)), "")</f>
        <v/>
      </c>
      <c r="K106" s="22" t="str">
        <f>IFERROR(INDEX('2024ds'!$D$2:$D$368, MATCH($B106, '2024ds'!$A$2:$A$368, 0)), "")</f>
        <v/>
      </c>
      <c r="L106" s="21" t="str">
        <f t="shared" si="11"/>
        <v/>
      </c>
      <c r="U106" s="3" t="str">
        <f t="shared" si="12"/>
        <v/>
      </c>
      <c r="V106" s="4" t="str">
        <f t="shared" si="13"/>
        <v/>
      </c>
      <c r="W106" s="4" t="str">
        <f t="shared" si="14"/>
        <v/>
      </c>
      <c r="X106" t="str">
        <f t="shared" si="9"/>
        <v/>
      </c>
    </row>
    <row r="107" spans="3:24">
      <c r="C107" s="12"/>
      <c r="D107" s="1"/>
      <c r="E107" s="1"/>
      <c r="F107" s="1"/>
      <c r="G107" s="11" t="str">
        <f t="shared" si="8"/>
        <v/>
      </c>
      <c r="H107" s="11" t="str">
        <f t="shared" si="10"/>
        <v/>
      </c>
      <c r="I107" s="15" t="str">
        <f>IFERROR(INDEX('2024ds'!$B$2:$B$368, MATCH($B107, '2024ds'!$A$2:$A$368, 0)), "")</f>
        <v/>
      </c>
      <c r="J107" s="1" t="str">
        <f>IFERROR(INDEX('2024ds'!$C$2:$C$368, MATCH($B107, '2024ds'!$A$2:$A$368, 0)), "")</f>
        <v/>
      </c>
      <c r="K107" s="22" t="str">
        <f>IFERROR(INDEX('2024ds'!$D$2:$D$368, MATCH($B107, '2024ds'!$A$2:$A$368, 0)), "")</f>
        <v/>
      </c>
      <c r="L107" s="21" t="str">
        <f t="shared" si="11"/>
        <v/>
      </c>
      <c r="U107" s="3" t="str">
        <f t="shared" si="12"/>
        <v/>
      </c>
      <c r="V107" s="4" t="str">
        <f t="shared" si="13"/>
        <v/>
      </c>
      <c r="W107" s="4" t="str">
        <f t="shared" si="14"/>
        <v/>
      </c>
      <c r="X107" t="str">
        <f t="shared" si="9"/>
        <v/>
      </c>
    </row>
    <row r="108" spans="3:24">
      <c r="C108" s="12"/>
      <c r="D108" s="1"/>
      <c r="E108" s="1"/>
      <c r="F108" s="1"/>
      <c r="G108" s="11" t="str">
        <f t="shared" si="8"/>
        <v/>
      </c>
      <c r="H108" s="11" t="str">
        <f t="shared" si="10"/>
        <v/>
      </c>
      <c r="I108" s="15" t="str">
        <f>IFERROR(INDEX('2024ds'!$B$2:$B$368, MATCH($B108, '2024ds'!$A$2:$A$368, 0)), "")</f>
        <v/>
      </c>
      <c r="J108" s="1" t="str">
        <f>IFERROR(INDEX('2024ds'!$C$2:$C$368, MATCH($B108, '2024ds'!$A$2:$A$368, 0)), "")</f>
        <v/>
      </c>
      <c r="K108" s="22" t="str">
        <f>IFERROR(INDEX('2024ds'!$D$2:$D$368, MATCH($B108, '2024ds'!$A$2:$A$368, 0)), "")</f>
        <v/>
      </c>
      <c r="L108" s="21" t="str">
        <f t="shared" si="11"/>
        <v/>
      </c>
      <c r="U108" s="3" t="str">
        <f t="shared" si="12"/>
        <v/>
      </c>
      <c r="V108" s="4" t="str">
        <f t="shared" si="13"/>
        <v/>
      </c>
      <c r="W108" s="4" t="str">
        <f t="shared" si="14"/>
        <v/>
      </c>
      <c r="X108" t="str">
        <f t="shared" si="9"/>
        <v/>
      </c>
    </row>
    <row r="109" spans="3:24">
      <c r="C109" s="12"/>
      <c r="D109" s="1"/>
      <c r="E109" s="1"/>
      <c r="F109" s="1"/>
      <c r="G109" s="11" t="str">
        <f t="shared" si="8"/>
        <v/>
      </c>
      <c r="H109" s="11" t="str">
        <f t="shared" si="10"/>
        <v/>
      </c>
      <c r="I109" s="15" t="str">
        <f>IFERROR(INDEX('2024ds'!$B$2:$B$368, MATCH($B109, '2024ds'!$A$2:$A$368, 0)), "")</f>
        <v/>
      </c>
      <c r="J109" s="1" t="str">
        <f>IFERROR(INDEX('2024ds'!$C$2:$C$368, MATCH($B109, '2024ds'!$A$2:$A$368, 0)), "")</f>
        <v/>
      </c>
      <c r="K109" s="22" t="str">
        <f>IFERROR(INDEX('2024ds'!$D$2:$D$368, MATCH($B109, '2024ds'!$A$2:$A$368, 0)), "")</f>
        <v/>
      </c>
      <c r="L109" s="21" t="str">
        <f t="shared" si="11"/>
        <v/>
      </c>
      <c r="U109" s="3" t="str">
        <f t="shared" si="12"/>
        <v/>
      </c>
      <c r="V109" s="4" t="str">
        <f t="shared" si="13"/>
        <v/>
      </c>
      <c r="W109" s="4" t="str">
        <f t="shared" si="14"/>
        <v/>
      </c>
      <c r="X109" t="str">
        <f t="shared" si="9"/>
        <v/>
      </c>
    </row>
    <row r="110" spans="3:24">
      <c r="C110" s="12"/>
      <c r="D110" s="1"/>
      <c r="E110" s="1"/>
      <c r="F110" s="1"/>
      <c r="G110" s="11" t="str">
        <f t="shared" si="8"/>
        <v/>
      </c>
      <c r="H110" s="11" t="str">
        <f t="shared" si="10"/>
        <v/>
      </c>
      <c r="I110" s="15" t="str">
        <f>IFERROR(INDEX('2024ds'!$B$2:$B$368, MATCH($B110, '2024ds'!$A$2:$A$368, 0)), "")</f>
        <v/>
      </c>
      <c r="J110" s="1" t="str">
        <f>IFERROR(INDEX('2024ds'!$C$2:$C$368, MATCH($B110, '2024ds'!$A$2:$A$368, 0)), "")</f>
        <v/>
      </c>
      <c r="K110" s="22" t="str">
        <f>IFERROR(INDEX('2024ds'!$D$2:$D$368, MATCH($B110, '2024ds'!$A$2:$A$368, 0)), "")</f>
        <v/>
      </c>
      <c r="L110" s="21" t="str">
        <f t="shared" si="11"/>
        <v/>
      </c>
      <c r="U110" s="3" t="str">
        <f t="shared" si="12"/>
        <v/>
      </c>
      <c r="V110" s="4" t="str">
        <f t="shared" si="13"/>
        <v/>
      </c>
      <c r="W110" s="4" t="str">
        <f t="shared" si="14"/>
        <v/>
      </c>
      <c r="X110" t="str">
        <f t="shared" si="9"/>
        <v/>
      </c>
    </row>
    <row r="111" spans="3:24">
      <c r="C111" s="12"/>
      <c r="D111" s="1"/>
      <c r="E111" s="1"/>
      <c r="F111" s="1"/>
      <c r="G111" s="11" t="str">
        <f t="shared" si="8"/>
        <v/>
      </c>
      <c r="H111" s="11" t="str">
        <f t="shared" si="10"/>
        <v/>
      </c>
      <c r="I111" s="15" t="str">
        <f>IFERROR(INDEX('2024ds'!$B$2:$B$368, MATCH($B111, '2024ds'!$A$2:$A$368, 0)), "")</f>
        <v/>
      </c>
      <c r="J111" s="1" t="str">
        <f>IFERROR(INDEX('2024ds'!$C$2:$C$368, MATCH($B111, '2024ds'!$A$2:$A$368, 0)), "")</f>
        <v/>
      </c>
      <c r="K111" s="22" t="str">
        <f>IFERROR(INDEX('2024ds'!$D$2:$D$368, MATCH($B111, '2024ds'!$A$2:$A$368, 0)), "")</f>
        <v/>
      </c>
      <c r="L111" s="21" t="str">
        <f t="shared" si="11"/>
        <v/>
      </c>
      <c r="U111" s="3" t="str">
        <f t="shared" si="12"/>
        <v/>
      </c>
      <c r="V111" s="4" t="str">
        <f t="shared" si="13"/>
        <v/>
      </c>
      <c r="W111" s="4" t="str">
        <f t="shared" si="14"/>
        <v/>
      </c>
      <c r="X111" t="str">
        <f t="shared" si="9"/>
        <v/>
      </c>
    </row>
    <row r="112" spans="3:24">
      <c r="C112" s="12"/>
      <c r="D112" s="1"/>
      <c r="E112" s="1"/>
      <c r="F112" s="1"/>
      <c r="G112" s="11" t="str">
        <f t="shared" si="8"/>
        <v/>
      </c>
      <c r="H112" s="11" t="str">
        <f t="shared" si="10"/>
        <v/>
      </c>
      <c r="I112" s="15" t="str">
        <f>IFERROR(INDEX('2024ds'!$B$2:$B$368, MATCH($B112, '2024ds'!$A$2:$A$368, 0)), "")</f>
        <v/>
      </c>
      <c r="J112" s="1" t="str">
        <f>IFERROR(INDEX('2024ds'!$C$2:$C$368, MATCH($B112, '2024ds'!$A$2:$A$368, 0)), "")</f>
        <v/>
      </c>
      <c r="K112" s="22" t="str">
        <f>IFERROR(INDEX('2024ds'!$D$2:$D$368, MATCH($B112, '2024ds'!$A$2:$A$368, 0)), "")</f>
        <v/>
      </c>
      <c r="L112" s="21" t="str">
        <f t="shared" si="11"/>
        <v/>
      </c>
      <c r="U112" s="3" t="str">
        <f t="shared" si="12"/>
        <v/>
      </c>
      <c r="V112" s="4" t="str">
        <f t="shared" si="13"/>
        <v/>
      </c>
      <c r="W112" s="4" t="str">
        <f t="shared" si="14"/>
        <v/>
      </c>
      <c r="X112" t="str">
        <f t="shared" si="9"/>
        <v/>
      </c>
    </row>
    <row r="113" spans="3:24">
      <c r="C113" s="12"/>
      <c r="D113" s="1"/>
      <c r="E113" s="1"/>
      <c r="F113" s="1"/>
      <c r="G113" s="11" t="str">
        <f t="shared" si="8"/>
        <v/>
      </c>
      <c r="H113" s="11" t="str">
        <f t="shared" si="10"/>
        <v/>
      </c>
      <c r="I113" s="15" t="str">
        <f>IFERROR(INDEX('2024ds'!$B$2:$B$368, MATCH($B113, '2024ds'!$A$2:$A$368, 0)), "")</f>
        <v/>
      </c>
      <c r="J113" s="1" t="str">
        <f>IFERROR(INDEX('2024ds'!$C$2:$C$368, MATCH($B113, '2024ds'!$A$2:$A$368, 0)), "")</f>
        <v/>
      </c>
      <c r="K113" s="22" t="str">
        <f>IFERROR(INDEX('2024ds'!$D$2:$D$368, MATCH($B113, '2024ds'!$A$2:$A$368, 0)), "")</f>
        <v/>
      </c>
      <c r="L113" s="21" t="str">
        <f t="shared" si="11"/>
        <v/>
      </c>
      <c r="U113" s="3" t="str">
        <f t="shared" si="12"/>
        <v/>
      </c>
      <c r="V113" s="4" t="str">
        <f t="shared" si="13"/>
        <v/>
      </c>
      <c r="W113" s="4" t="str">
        <f t="shared" si="14"/>
        <v/>
      </c>
      <c r="X113" t="str">
        <f t="shared" si="9"/>
        <v/>
      </c>
    </row>
    <row r="114" spans="3:24">
      <c r="C114" s="12"/>
      <c r="D114" s="1"/>
      <c r="E114" s="1"/>
      <c r="F114" s="1"/>
      <c r="G114" s="11" t="str">
        <f t="shared" si="8"/>
        <v/>
      </c>
      <c r="H114" s="11" t="str">
        <f t="shared" si="10"/>
        <v/>
      </c>
      <c r="I114" s="15" t="str">
        <f>IFERROR(INDEX('2024ds'!$B$2:$B$368, MATCH($B114, '2024ds'!$A$2:$A$368, 0)), "")</f>
        <v/>
      </c>
      <c r="J114" s="1" t="str">
        <f>IFERROR(INDEX('2024ds'!$C$2:$C$368, MATCH($B114, '2024ds'!$A$2:$A$368, 0)), "")</f>
        <v/>
      </c>
      <c r="K114" s="22" t="str">
        <f>IFERROR(INDEX('2024ds'!$D$2:$D$368, MATCH($B114, '2024ds'!$A$2:$A$368, 0)), "")</f>
        <v/>
      </c>
      <c r="L114" s="21" t="str">
        <f t="shared" si="11"/>
        <v/>
      </c>
      <c r="U114" s="3" t="str">
        <f t="shared" si="12"/>
        <v/>
      </c>
      <c r="V114" s="4" t="str">
        <f t="shared" si="13"/>
        <v/>
      </c>
      <c r="W114" s="4" t="str">
        <f t="shared" si="14"/>
        <v/>
      </c>
      <c r="X114" t="str">
        <f t="shared" si="9"/>
        <v/>
      </c>
    </row>
    <row r="115" spans="3:24">
      <c r="C115" s="12"/>
      <c r="D115" s="1"/>
      <c r="E115" s="1"/>
      <c r="F115" s="1"/>
      <c r="G115" s="11" t="str">
        <f t="shared" si="8"/>
        <v/>
      </c>
      <c r="H115" s="11" t="str">
        <f t="shared" si="10"/>
        <v/>
      </c>
      <c r="I115" s="15" t="str">
        <f>IFERROR(INDEX('2024ds'!$B$2:$B$368, MATCH($B115, '2024ds'!$A$2:$A$368, 0)), "")</f>
        <v/>
      </c>
      <c r="J115" s="1" t="str">
        <f>IFERROR(INDEX('2024ds'!$C$2:$C$368, MATCH($B115, '2024ds'!$A$2:$A$368, 0)), "")</f>
        <v/>
      </c>
      <c r="K115" s="22" t="str">
        <f>IFERROR(INDEX('2024ds'!$D$2:$D$368, MATCH($B115, '2024ds'!$A$2:$A$368, 0)), "")</f>
        <v/>
      </c>
      <c r="L115" s="21" t="str">
        <f t="shared" si="11"/>
        <v/>
      </c>
      <c r="U115" s="3" t="str">
        <f t="shared" si="12"/>
        <v/>
      </c>
      <c r="V115" s="4" t="str">
        <f t="shared" si="13"/>
        <v/>
      </c>
      <c r="W115" s="4" t="str">
        <f t="shared" si="14"/>
        <v/>
      </c>
      <c r="X115" t="str">
        <f t="shared" si="9"/>
        <v/>
      </c>
    </row>
    <row r="116" spans="3:24">
      <c r="C116" s="12"/>
      <c r="D116" s="1"/>
      <c r="E116" s="1"/>
      <c r="F116" s="1"/>
      <c r="G116" s="11" t="str">
        <f t="shared" si="8"/>
        <v/>
      </c>
      <c r="H116" s="11" t="str">
        <f t="shared" si="10"/>
        <v/>
      </c>
      <c r="I116" s="15" t="str">
        <f>IFERROR(INDEX('2024ds'!$B$2:$B$368, MATCH($B116, '2024ds'!$A$2:$A$368, 0)), "")</f>
        <v/>
      </c>
      <c r="J116" s="1" t="str">
        <f>IFERROR(INDEX('2024ds'!$C$2:$C$368, MATCH($B116, '2024ds'!$A$2:$A$368, 0)), "")</f>
        <v/>
      </c>
      <c r="K116" s="22" t="str">
        <f>IFERROR(INDEX('2024ds'!$D$2:$D$368, MATCH($B116, '2024ds'!$A$2:$A$368, 0)), "")</f>
        <v/>
      </c>
      <c r="L116" s="21" t="str">
        <f t="shared" si="11"/>
        <v/>
      </c>
      <c r="U116" s="3" t="str">
        <f t="shared" si="12"/>
        <v/>
      </c>
      <c r="V116" s="4" t="str">
        <f t="shared" si="13"/>
        <v/>
      </c>
      <c r="W116" s="4" t="str">
        <f t="shared" si="14"/>
        <v/>
      </c>
      <c r="X116" t="str">
        <f t="shared" si="9"/>
        <v/>
      </c>
    </row>
    <row r="117" spans="3:24">
      <c r="C117" s="12"/>
      <c r="D117" s="1"/>
      <c r="E117" s="1"/>
      <c r="F117" s="1"/>
      <c r="G117" s="11" t="str">
        <f t="shared" si="8"/>
        <v/>
      </c>
      <c r="H117" s="11" t="str">
        <f t="shared" si="10"/>
        <v/>
      </c>
      <c r="I117" s="15" t="str">
        <f>IFERROR(INDEX('2024ds'!$B$2:$B$368, MATCH($B117, '2024ds'!$A$2:$A$368, 0)), "")</f>
        <v/>
      </c>
      <c r="J117" s="1" t="str">
        <f>IFERROR(INDEX('2024ds'!$C$2:$C$368, MATCH($B117, '2024ds'!$A$2:$A$368, 0)), "")</f>
        <v/>
      </c>
      <c r="K117" s="22" t="str">
        <f>IFERROR(INDEX('2024ds'!$D$2:$D$368, MATCH($B117, '2024ds'!$A$2:$A$368, 0)), "")</f>
        <v/>
      </c>
      <c r="L117" s="21" t="str">
        <f t="shared" si="11"/>
        <v/>
      </c>
      <c r="U117" s="3" t="str">
        <f t="shared" si="12"/>
        <v/>
      </c>
      <c r="V117" s="4" t="str">
        <f t="shared" si="13"/>
        <v/>
      </c>
      <c r="W117" s="4" t="str">
        <f t="shared" si="14"/>
        <v/>
      </c>
      <c r="X117" t="str">
        <f t="shared" si="9"/>
        <v/>
      </c>
    </row>
    <row r="118" spans="3:24">
      <c r="C118" s="12"/>
      <c r="D118" s="1"/>
      <c r="E118" s="1"/>
      <c r="F118" s="1"/>
      <c r="G118" s="11" t="str">
        <f t="shared" si="8"/>
        <v/>
      </c>
      <c r="H118" s="11" t="str">
        <f t="shared" si="10"/>
        <v/>
      </c>
      <c r="I118" s="15" t="str">
        <f>IFERROR(INDEX('2024ds'!$B$2:$B$368, MATCH($B118, '2024ds'!$A$2:$A$368, 0)), "")</f>
        <v/>
      </c>
      <c r="J118" s="1" t="str">
        <f>IFERROR(INDEX('2024ds'!$C$2:$C$368, MATCH($B118, '2024ds'!$A$2:$A$368, 0)), "")</f>
        <v/>
      </c>
      <c r="K118" s="22" t="str">
        <f>IFERROR(INDEX('2024ds'!$D$2:$D$368, MATCH($B118, '2024ds'!$A$2:$A$368, 0)), "")</f>
        <v/>
      </c>
      <c r="L118" s="21" t="str">
        <f t="shared" si="11"/>
        <v/>
      </c>
      <c r="U118" s="3" t="str">
        <f t="shared" si="12"/>
        <v/>
      </c>
      <c r="V118" s="4" t="str">
        <f t="shared" si="13"/>
        <v/>
      </c>
      <c r="W118" s="4" t="str">
        <f t="shared" si="14"/>
        <v/>
      </c>
      <c r="X118" t="str">
        <f t="shared" si="9"/>
        <v/>
      </c>
    </row>
    <row r="119" spans="3:24">
      <c r="C119" s="12"/>
      <c r="D119" s="1"/>
      <c r="E119" s="1"/>
      <c r="F119" s="1"/>
      <c r="G119" s="11" t="str">
        <f t="shared" si="8"/>
        <v/>
      </c>
      <c r="H119" s="11" t="str">
        <f t="shared" si="10"/>
        <v/>
      </c>
      <c r="I119" s="15" t="str">
        <f>IFERROR(INDEX('2024ds'!$B$2:$B$368, MATCH($B119, '2024ds'!$A$2:$A$368, 0)), "")</f>
        <v/>
      </c>
      <c r="J119" s="1" t="str">
        <f>IFERROR(INDEX('2024ds'!$C$2:$C$368, MATCH($B119, '2024ds'!$A$2:$A$368, 0)), "")</f>
        <v/>
      </c>
      <c r="K119" s="22" t="str">
        <f>IFERROR(INDEX('2024ds'!$D$2:$D$368, MATCH($B119, '2024ds'!$A$2:$A$368, 0)), "")</f>
        <v/>
      </c>
      <c r="L119" s="21" t="str">
        <f t="shared" si="11"/>
        <v/>
      </c>
      <c r="U119" s="3" t="str">
        <f t="shared" si="12"/>
        <v/>
      </c>
      <c r="V119" s="4" t="str">
        <f t="shared" si="13"/>
        <v/>
      </c>
      <c r="W119" s="4" t="str">
        <f t="shared" si="14"/>
        <v/>
      </c>
      <c r="X119" t="str">
        <f t="shared" si="9"/>
        <v/>
      </c>
    </row>
    <row r="120" spans="3:24">
      <c r="C120" s="12"/>
      <c r="D120" s="1"/>
      <c r="E120" s="1"/>
      <c r="F120" s="1"/>
      <c r="G120" s="11" t="str">
        <f t="shared" si="8"/>
        <v/>
      </c>
      <c r="H120" s="11" t="str">
        <f t="shared" si="10"/>
        <v/>
      </c>
      <c r="I120" s="15" t="str">
        <f>IFERROR(INDEX('2024ds'!$B$2:$B$368, MATCH($B120, '2024ds'!$A$2:$A$368, 0)), "")</f>
        <v/>
      </c>
      <c r="J120" s="1" t="str">
        <f>IFERROR(INDEX('2024ds'!$C$2:$C$368, MATCH($B120, '2024ds'!$A$2:$A$368, 0)), "")</f>
        <v/>
      </c>
      <c r="K120" s="22" t="str">
        <f>IFERROR(INDEX('2024ds'!$D$2:$D$368, MATCH($B120, '2024ds'!$A$2:$A$368, 0)), "")</f>
        <v/>
      </c>
      <c r="L120" s="21" t="str">
        <f t="shared" si="11"/>
        <v/>
      </c>
      <c r="U120" s="3" t="str">
        <f t="shared" si="12"/>
        <v/>
      </c>
      <c r="V120" s="4" t="str">
        <f t="shared" si="13"/>
        <v/>
      </c>
      <c r="W120" s="4" t="str">
        <f t="shared" si="14"/>
        <v/>
      </c>
      <c r="X120" t="str">
        <f t="shared" si="9"/>
        <v/>
      </c>
    </row>
    <row r="121" spans="3:24">
      <c r="C121" s="12"/>
      <c r="D121" s="1"/>
      <c r="E121" s="1"/>
      <c r="F121" s="1"/>
      <c r="G121" s="11" t="str">
        <f t="shared" si="8"/>
        <v/>
      </c>
      <c r="H121" s="11" t="str">
        <f t="shared" si="10"/>
        <v/>
      </c>
      <c r="I121" s="15" t="str">
        <f>IFERROR(INDEX('2024ds'!$B$2:$B$368, MATCH($B121, '2024ds'!$A$2:$A$368, 0)), "")</f>
        <v/>
      </c>
      <c r="J121" s="1" t="str">
        <f>IFERROR(INDEX('2024ds'!$C$2:$C$368, MATCH($B121, '2024ds'!$A$2:$A$368, 0)), "")</f>
        <v/>
      </c>
      <c r="K121" s="22" t="str">
        <f>IFERROR(INDEX('2024ds'!$D$2:$D$368, MATCH($B121, '2024ds'!$A$2:$A$368, 0)), "")</f>
        <v/>
      </c>
      <c r="L121" s="21" t="str">
        <f t="shared" si="11"/>
        <v/>
      </c>
      <c r="U121" s="3" t="str">
        <f t="shared" si="12"/>
        <v/>
      </c>
      <c r="V121" s="4" t="str">
        <f t="shared" si="13"/>
        <v/>
      </c>
      <c r="W121" s="4" t="str">
        <f t="shared" si="14"/>
        <v/>
      </c>
      <c r="X121" t="str">
        <f t="shared" si="9"/>
        <v/>
      </c>
    </row>
    <row r="122" spans="3:24">
      <c r="C122" s="12"/>
      <c r="D122" s="1"/>
      <c r="E122" s="1"/>
      <c r="F122" s="1"/>
      <c r="G122" s="11" t="str">
        <f t="shared" si="8"/>
        <v/>
      </c>
      <c r="H122" s="11" t="str">
        <f t="shared" si="10"/>
        <v/>
      </c>
      <c r="I122" s="15" t="str">
        <f>IFERROR(INDEX('2024ds'!$B$2:$B$368, MATCH($B122, '2024ds'!$A$2:$A$368, 0)), "")</f>
        <v/>
      </c>
      <c r="J122" s="1" t="str">
        <f>IFERROR(INDEX('2024ds'!$C$2:$C$368, MATCH($B122, '2024ds'!$A$2:$A$368, 0)), "")</f>
        <v/>
      </c>
      <c r="K122" s="22" t="str">
        <f>IFERROR(INDEX('2024ds'!$D$2:$D$368, MATCH($B122, '2024ds'!$A$2:$A$368, 0)), "")</f>
        <v/>
      </c>
      <c r="L122" s="21" t="str">
        <f t="shared" si="11"/>
        <v/>
      </c>
      <c r="U122" s="3" t="str">
        <f t="shared" si="12"/>
        <v/>
      </c>
      <c r="V122" s="4" t="str">
        <f t="shared" si="13"/>
        <v/>
      </c>
      <c r="W122" s="4" t="str">
        <f t="shared" si="14"/>
        <v/>
      </c>
      <c r="X122" t="str">
        <f t="shared" si="9"/>
        <v/>
      </c>
    </row>
    <row r="123" spans="3:24">
      <c r="C123" s="12"/>
      <c r="D123" s="1"/>
      <c r="E123" s="1"/>
      <c r="F123" s="1"/>
      <c r="G123" s="11" t="str">
        <f t="shared" si="8"/>
        <v/>
      </c>
      <c r="H123" s="11" t="str">
        <f t="shared" si="10"/>
        <v/>
      </c>
      <c r="I123" s="15" t="str">
        <f>IFERROR(INDEX('2024ds'!$B$2:$B$368, MATCH($B123, '2024ds'!$A$2:$A$368, 0)), "")</f>
        <v/>
      </c>
      <c r="J123" s="1" t="str">
        <f>IFERROR(INDEX('2024ds'!$C$2:$C$368, MATCH($B123, '2024ds'!$A$2:$A$368, 0)), "")</f>
        <v/>
      </c>
      <c r="K123" s="22" t="str">
        <f>IFERROR(INDEX('2024ds'!$D$2:$D$368, MATCH($B123, '2024ds'!$A$2:$A$368, 0)), "")</f>
        <v/>
      </c>
      <c r="L123" s="21" t="str">
        <f t="shared" si="11"/>
        <v/>
      </c>
      <c r="U123" s="3" t="str">
        <f t="shared" si="12"/>
        <v/>
      </c>
      <c r="V123" s="4" t="str">
        <f t="shared" si="13"/>
        <v/>
      </c>
      <c r="W123" s="4" t="str">
        <f t="shared" si="14"/>
        <v/>
      </c>
      <c r="X123" t="str">
        <f t="shared" si="9"/>
        <v/>
      </c>
    </row>
    <row r="124" spans="3:24">
      <c r="C124" s="12"/>
      <c r="D124" s="1"/>
      <c r="E124" s="1"/>
      <c r="F124" s="1"/>
      <c r="G124" s="11" t="str">
        <f t="shared" si="8"/>
        <v/>
      </c>
      <c r="H124" s="11" t="str">
        <f t="shared" si="10"/>
        <v/>
      </c>
      <c r="I124" s="15" t="str">
        <f>IFERROR(INDEX('2024ds'!$B$2:$B$368, MATCH($B124, '2024ds'!$A$2:$A$368, 0)), "")</f>
        <v/>
      </c>
      <c r="J124" s="1" t="str">
        <f>IFERROR(INDEX('2024ds'!$C$2:$C$368, MATCH($B124, '2024ds'!$A$2:$A$368, 0)), "")</f>
        <v/>
      </c>
      <c r="K124" s="22" t="str">
        <f>IFERROR(INDEX('2024ds'!$D$2:$D$368, MATCH($B124, '2024ds'!$A$2:$A$368, 0)), "")</f>
        <v/>
      </c>
      <c r="L124" s="21" t="str">
        <f t="shared" si="11"/>
        <v/>
      </c>
      <c r="U124" s="3" t="str">
        <f t="shared" si="12"/>
        <v/>
      </c>
      <c r="V124" s="4" t="str">
        <f t="shared" si="13"/>
        <v/>
      </c>
      <c r="W124" s="4" t="str">
        <f t="shared" si="14"/>
        <v/>
      </c>
      <c r="X124" t="str">
        <f t="shared" si="9"/>
        <v/>
      </c>
    </row>
    <row r="125" spans="3:24">
      <c r="C125" s="12"/>
      <c r="D125" s="1"/>
      <c r="E125" s="1"/>
      <c r="F125" s="1"/>
      <c r="G125" s="11" t="str">
        <f t="shared" si="8"/>
        <v/>
      </c>
      <c r="H125" s="11" t="str">
        <f t="shared" si="10"/>
        <v/>
      </c>
      <c r="I125" s="15" t="str">
        <f>IFERROR(INDEX('2024ds'!$B$2:$B$368, MATCH($B125, '2024ds'!$A$2:$A$368, 0)), "")</f>
        <v/>
      </c>
      <c r="J125" s="1" t="str">
        <f>IFERROR(INDEX('2024ds'!$C$2:$C$368, MATCH($B125, '2024ds'!$A$2:$A$368, 0)), "")</f>
        <v/>
      </c>
      <c r="K125" s="22" t="str">
        <f>IFERROR(INDEX('2024ds'!$D$2:$D$368, MATCH($B125, '2024ds'!$A$2:$A$368, 0)), "")</f>
        <v/>
      </c>
      <c r="L125" s="21" t="str">
        <f t="shared" si="11"/>
        <v/>
      </c>
      <c r="U125" s="3" t="str">
        <f t="shared" si="12"/>
        <v/>
      </c>
      <c r="V125" s="4" t="str">
        <f t="shared" si="13"/>
        <v/>
      </c>
      <c r="W125" s="4" t="str">
        <f t="shared" si="14"/>
        <v/>
      </c>
      <c r="X125" t="str">
        <f t="shared" si="9"/>
        <v/>
      </c>
    </row>
    <row r="126" spans="3:24">
      <c r="C126" s="12"/>
      <c r="D126" s="1"/>
      <c r="E126" s="1"/>
      <c r="F126" s="1"/>
      <c r="G126" s="11" t="str">
        <f t="shared" si="8"/>
        <v/>
      </c>
      <c r="H126" s="11" t="str">
        <f t="shared" si="10"/>
        <v/>
      </c>
      <c r="I126" s="15" t="str">
        <f>IFERROR(INDEX('2024ds'!$B$2:$B$368, MATCH($B126, '2024ds'!$A$2:$A$368, 0)), "")</f>
        <v/>
      </c>
      <c r="J126" s="1" t="str">
        <f>IFERROR(INDEX('2024ds'!$C$2:$C$368, MATCH($B126, '2024ds'!$A$2:$A$368, 0)), "")</f>
        <v/>
      </c>
      <c r="K126" s="22" t="str">
        <f>IFERROR(INDEX('2024ds'!$D$2:$D$368, MATCH($B126, '2024ds'!$A$2:$A$368, 0)), "")</f>
        <v/>
      </c>
      <c r="L126" s="21" t="str">
        <f t="shared" si="11"/>
        <v/>
      </c>
      <c r="U126" s="3" t="str">
        <f t="shared" si="12"/>
        <v/>
      </c>
      <c r="V126" s="4" t="str">
        <f t="shared" si="13"/>
        <v/>
      </c>
      <c r="W126" s="4" t="str">
        <f t="shared" si="14"/>
        <v/>
      </c>
      <c r="X126" t="str">
        <f t="shared" si="9"/>
        <v/>
      </c>
    </row>
    <row r="127" spans="3:24">
      <c r="C127" s="12"/>
      <c r="D127" s="1"/>
      <c r="E127" s="1"/>
      <c r="F127" s="1"/>
      <c r="G127" s="11" t="str">
        <f t="shared" si="8"/>
        <v/>
      </c>
      <c r="H127" s="11" t="str">
        <f t="shared" si="10"/>
        <v/>
      </c>
      <c r="I127" s="15" t="str">
        <f>IFERROR(INDEX('2024ds'!$B$2:$B$368, MATCH($B127, '2024ds'!$A$2:$A$368, 0)), "")</f>
        <v/>
      </c>
      <c r="J127" s="1" t="str">
        <f>IFERROR(INDEX('2024ds'!$C$2:$C$368, MATCH($B127, '2024ds'!$A$2:$A$368, 0)), "")</f>
        <v/>
      </c>
      <c r="K127" s="22" t="str">
        <f>IFERROR(INDEX('2024ds'!$D$2:$D$368, MATCH($B127, '2024ds'!$A$2:$A$368, 0)), "")</f>
        <v/>
      </c>
      <c r="L127" s="21" t="str">
        <f t="shared" si="11"/>
        <v/>
      </c>
      <c r="U127" s="3" t="str">
        <f t="shared" si="12"/>
        <v/>
      </c>
      <c r="V127" s="4" t="str">
        <f t="shared" si="13"/>
        <v/>
      </c>
      <c r="W127" s="4" t="str">
        <f t="shared" si="14"/>
        <v/>
      </c>
      <c r="X127" t="str">
        <f t="shared" si="9"/>
        <v/>
      </c>
    </row>
    <row r="128" spans="3:24">
      <c r="C128" s="12"/>
      <c r="D128" s="1"/>
      <c r="E128" s="1"/>
      <c r="F128" s="1"/>
      <c r="G128" s="11" t="str">
        <f t="shared" si="8"/>
        <v/>
      </c>
      <c r="H128" s="11" t="str">
        <f t="shared" si="10"/>
        <v/>
      </c>
      <c r="I128" s="15" t="str">
        <f>IFERROR(INDEX('2024ds'!$B$2:$B$368, MATCH($B128, '2024ds'!$A$2:$A$368, 0)), "")</f>
        <v/>
      </c>
      <c r="J128" s="1" t="str">
        <f>IFERROR(INDEX('2024ds'!$C$2:$C$368, MATCH($B128, '2024ds'!$A$2:$A$368, 0)), "")</f>
        <v/>
      </c>
      <c r="K128" s="22" t="str">
        <f>IFERROR(INDEX('2024ds'!$D$2:$D$368, MATCH($B128, '2024ds'!$A$2:$A$368, 0)), "")</f>
        <v/>
      </c>
      <c r="L128" s="21" t="str">
        <f t="shared" si="11"/>
        <v/>
      </c>
      <c r="U128" s="3" t="str">
        <f t="shared" si="12"/>
        <v/>
      </c>
      <c r="V128" s="4" t="str">
        <f t="shared" si="13"/>
        <v/>
      </c>
      <c r="W128" s="4" t="str">
        <f t="shared" si="14"/>
        <v/>
      </c>
      <c r="X128" t="str">
        <f t="shared" si="9"/>
        <v/>
      </c>
    </row>
    <row r="129" spans="3:24">
      <c r="C129" s="12"/>
      <c r="D129" s="1"/>
      <c r="E129" s="1"/>
      <c r="F129" s="1"/>
      <c r="G129" s="11" t="str">
        <f t="shared" si="8"/>
        <v/>
      </c>
      <c r="H129" s="11" t="str">
        <f t="shared" si="10"/>
        <v/>
      </c>
      <c r="I129" s="15" t="str">
        <f>IFERROR(INDEX('2024ds'!$B$2:$B$368, MATCH($B129, '2024ds'!$A$2:$A$368, 0)), "")</f>
        <v/>
      </c>
      <c r="J129" s="1" t="str">
        <f>IFERROR(INDEX('2024ds'!$C$2:$C$368, MATCH($B129, '2024ds'!$A$2:$A$368, 0)), "")</f>
        <v/>
      </c>
      <c r="K129" s="22" t="str">
        <f>IFERROR(INDEX('2024ds'!$D$2:$D$368, MATCH($B129, '2024ds'!$A$2:$A$368, 0)), "")</f>
        <v/>
      </c>
      <c r="L129" s="21" t="str">
        <f t="shared" si="11"/>
        <v/>
      </c>
      <c r="U129" s="3" t="str">
        <f t="shared" si="12"/>
        <v/>
      </c>
      <c r="V129" s="4" t="str">
        <f t="shared" si="13"/>
        <v/>
      </c>
      <c r="W129" s="4" t="str">
        <f t="shared" si="14"/>
        <v/>
      </c>
      <c r="X129" t="str">
        <f t="shared" si="9"/>
        <v/>
      </c>
    </row>
    <row r="130" spans="3:24">
      <c r="C130" s="12"/>
      <c r="D130" s="1"/>
      <c r="E130" s="1"/>
      <c r="F130" s="1"/>
      <c r="G130" s="11" t="str">
        <f t="shared" ref="G130:G193" si="15">IF(X130="", "", TIMEVALUE("0:" &amp; X130))</f>
        <v/>
      </c>
      <c r="H130" s="11" t="str">
        <f t="shared" si="10"/>
        <v/>
      </c>
      <c r="I130" s="15" t="str">
        <f>IFERROR(INDEX('2024ds'!$B$2:$B$368, MATCH($B130, '2024ds'!$A$2:$A$368, 0)), "")</f>
        <v/>
      </c>
      <c r="J130" s="1" t="str">
        <f>IFERROR(INDEX('2024ds'!$C$2:$C$368, MATCH($B130, '2024ds'!$A$2:$A$368, 0)), "")</f>
        <v/>
      </c>
      <c r="K130" s="22" t="str">
        <f>IFERROR(INDEX('2024ds'!$D$2:$D$368, MATCH($B130, '2024ds'!$A$2:$A$368, 0)), "")</f>
        <v/>
      </c>
      <c r="L130" s="21" t="str">
        <f t="shared" si="11"/>
        <v/>
      </c>
      <c r="U130" s="3" t="str">
        <f t="shared" si="12"/>
        <v/>
      </c>
      <c r="V130" s="4" t="str">
        <f t="shared" si="13"/>
        <v/>
      </c>
      <c r="W130" s="4" t="str">
        <f t="shared" si="14"/>
        <v/>
      </c>
      <c r="X130" t="str">
        <f t="shared" ref="X130:X193" si="16">IF(V130="", "", IF(MOD(W130,1)*60&gt;=59.5, TEXT(INT(W130)+1, "0") &amp; ":00", TEXT(INT(W130), "0") &amp; ":" &amp; TEXT(ROUND(MOD(W130,1)*60, 0), "00")))</f>
        <v/>
      </c>
    </row>
    <row r="131" spans="3:24">
      <c r="C131" s="12"/>
      <c r="D131" s="1"/>
      <c r="E131" s="1"/>
      <c r="F131" s="1"/>
      <c r="G131" s="11" t="str">
        <f t="shared" si="15"/>
        <v/>
      </c>
      <c r="H131" s="11" t="str">
        <f t="shared" ref="H131:H194" si="17">IF(X131="", "", TIMEVALUE("0:" &amp; X131))</f>
        <v/>
      </c>
      <c r="I131" s="15" t="str">
        <f>IFERROR(INDEX('2024ds'!$B$2:$B$368, MATCH($B131, '2024ds'!$A$2:$A$368, 0)), "")</f>
        <v/>
      </c>
      <c r="J131" s="1" t="str">
        <f>IFERROR(INDEX('2024ds'!$C$2:$C$368, MATCH($B131, '2024ds'!$A$2:$A$368, 0)), "")</f>
        <v/>
      </c>
      <c r="K131" s="22" t="str">
        <f>IFERROR(INDEX('2024ds'!$D$2:$D$368, MATCH($B131, '2024ds'!$A$2:$A$368, 0)), "")</f>
        <v/>
      </c>
      <c r="L131" s="21" t="str">
        <f t="shared" ref="L131:L194" si="18">HYPERLINK("#'2024ds'!E" &amp; ROW(B131), "")</f>
        <v/>
      </c>
      <c r="U131" s="3" t="str">
        <f t="shared" ref="U131:U194" si="19">IF(C131="","",TIMEVALUE(C131))</f>
        <v/>
      </c>
      <c r="V131" s="4" t="str">
        <f t="shared" ref="V131:V194" si="20">IF(C131="","",HOUR(C131)*60 + MINUTE(C131) + SECOND(C131)/60)</f>
        <v/>
      </c>
      <c r="W131" s="4" t="str">
        <f t="shared" ref="W131:W194" si="21">IF(V131="","",V131/D131)</f>
        <v/>
      </c>
      <c r="X131" t="str">
        <f t="shared" si="16"/>
        <v/>
      </c>
    </row>
    <row r="132" spans="3:24">
      <c r="C132" s="12"/>
      <c r="D132" s="1"/>
      <c r="E132" s="1"/>
      <c r="F132" s="1"/>
      <c r="G132" s="11" t="str">
        <f t="shared" si="15"/>
        <v/>
      </c>
      <c r="H132" s="11" t="str">
        <f t="shared" si="17"/>
        <v/>
      </c>
      <c r="I132" s="15" t="str">
        <f>IFERROR(INDEX('2024ds'!$B$2:$B$368, MATCH($B132, '2024ds'!$A$2:$A$368, 0)), "")</f>
        <v/>
      </c>
      <c r="J132" s="1" t="str">
        <f>IFERROR(INDEX('2024ds'!$C$2:$C$368, MATCH($B132, '2024ds'!$A$2:$A$368, 0)), "")</f>
        <v/>
      </c>
      <c r="K132" s="22" t="str">
        <f>IFERROR(INDEX('2024ds'!$D$2:$D$368, MATCH($B132, '2024ds'!$A$2:$A$368, 0)), "")</f>
        <v/>
      </c>
      <c r="L132" s="21" t="str">
        <f t="shared" si="18"/>
        <v/>
      </c>
      <c r="U132" s="3" t="str">
        <f t="shared" si="19"/>
        <v/>
      </c>
      <c r="V132" s="4" t="str">
        <f t="shared" si="20"/>
        <v/>
      </c>
      <c r="W132" s="4" t="str">
        <f t="shared" si="21"/>
        <v/>
      </c>
      <c r="X132" t="str">
        <f t="shared" si="16"/>
        <v/>
      </c>
    </row>
    <row r="133" spans="3:24">
      <c r="C133" s="12"/>
      <c r="D133" s="1"/>
      <c r="E133" s="1"/>
      <c r="F133" s="1"/>
      <c r="G133" s="11" t="str">
        <f t="shared" si="15"/>
        <v/>
      </c>
      <c r="H133" s="11" t="str">
        <f t="shared" si="17"/>
        <v/>
      </c>
      <c r="I133" s="15" t="str">
        <f>IFERROR(INDEX('2024ds'!$B$2:$B$368, MATCH($B133, '2024ds'!$A$2:$A$368, 0)), "")</f>
        <v/>
      </c>
      <c r="J133" s="1" t="str">
        <f>IFERROR(INDEX('2024ds'!$C$2:$C$368, MATCH($B133, '2024ds'!$A$2:$A$368, 0)), "")</f>
        <v/>
      </c>
      <c r="K133" s="22" t="str">
        <f>IFERROR(INDEX('2024ds'!$D$2:$D$368, MATCH($B133, '2024ds'!$A$2:$A$368, 0)), "")</f>
        <v/>
      </c>
      <c r="L133" s="21" t="str">
        <f t="shared" si="18"/>
        <v/>
      </c>
      <c r="U133" s="3" t="str">
        <f t="shared" si="19"/>
        <v/>
      </c>
      <c r="V133" s="4" t="str">
        <f t="shared" si="20"/>
        <v/>
      </c>
      <c r="W133" s="4" t="str">
        <f t="shared" si="21"/>
        <v/>
      </c>
      <c r="X133" t="str">
        <f t="shared" si="16"/>
        <v/>
      </c>
    </row>
    <row r="134" spans="3:24">
      <c r="C134" s="12"/>
      <c r="D134" s="1"/>
      <c r="E134" s="1"/>
      <c r="F134" s="1"/>
      <c r="G134" s="11" t="str">
        <f t="shared" si="15"/>
        <v/>
      </c>
      <c r="H134" s="11" t="str">
        <f t="shared" si="17"/>
        <v/>
      </c>
      <c r="I134" s="15" t="str">
        <f>IFERROR(INDEX('2024ds'!$B$2:$B$368, MATCH($B134, '2024ds'!$A$2:$A$368, 0)), "")</f>
        <v/>
      </c>
      <c r="J134" s="1" t="str">
        <f>IFERROR(INDEX('2024ds'!$C$2:$C$368, MATCH($B134, '2024ds'!$A$2:$A$368, 0)), "")</f>
        <v/>
      </c>
      <c r="K134" s="22" t="str">
        <f>IFERROR(INDEX('2024ds'!$D$2:$D$368, MATCH($B134, '2024ds'!$A$2:$A$368, 0)), "")</f>
        <v/>
      </c>
      <c r="L134" s="21" t="str">
        <f t="shared" si="18"/>
        <v/>
      </c>
      <c r="U134" s="3" t="str">
        <f t="shared" si="19"/>
        <v/>
      </c>
      <c r="V134" s="4" t="str">
        <f t="shared" si="20"/>
        <v/>
      </c>
      <c r="W134" s="4" t="str">
        <f t="shared" si="21"/>
        <v/>
      </c>
      <c r="X134" t="str">
        <f t="shared" si="16"/>
        <v/>
      </c>
    </row>
    <row r="135" spans="3:24">
      <c r="C135" s="12"/>
      <c r="D135" s="1"/>
      <c r="E135" s="1"/>
      <c r="F135" s="1"/>
      <c r="G135" s="11" t="str">
        <f t="shared" si="15"/>
        <v/>
      </c>
      <c r="H135" s="11" t="str">
        <f t="shared" si="17"/>
        <v/>
      </c>
      <c r="I135" s="15" t="str">
        <f>IFERROR(INDEX('2024ds'!$B$2:$B$368, MATCH($B135, '2024ds'!$A$2:$A$368, 0)), "")</f>
        <v/>
      </c>
      <c r="J135" s="1" t="str">
        <f>IFERROR(INDEX('2024ds'!$C$2:$C$368, MATCH($B135, '2024ds'!$A$2:$A$368, 0)), "")</f>
        <v/>
      </c>
      <c r="K135" s="22" t="str">
        <f>IFERROR(INDEX('2024ds'!$D$2:$D$368, MATCH($B135, '2024ds'!$A$2:$A$368, 0)), "")</f>
        <v/>
      </c>
      <c r="L135" s="21" t="str">
        <f t="shared" si="18"/>
        <v/>
      </c>
      <c r="U135" s="3" t="str">
        <f t="shared" si="19"/>
        <v/>
      </c>
      <c r="V135" s="4" t="str">
        <f t="shared" si="20"/>
        <v/>
      </c>
      <c r="W135" s="4" t="str">
        <f t="shared" si="21"/>
        <v/>
      </c>
      <c r="X135" t="str">
        <f t="shared" si="16"/>
        <v/>
      </c>
    </row>
    <row r="136" spans="3:24">
      <c r="C136" s="12"/>
      <c r="D136" s="1"/>
      <c r="E136" s="1"/>
      <c r="F136" s="1"/>
      <c r="G136" s="11" t="str">
        <f t="shared" si="15"/>
        <v/>
      </c>
      <c r="H136" s="11" t="str">
        <f t="shared" si="17"/>
        <v/>
      </c>
      <c r="I136" s="15" t="str">
        <f>IFERROR(INDEX('2024ds'!$B$2:$B$368, MATCH($B136, '2024ds'!$A$2:$A$368, 0)), "")</f>
        <v/>
      </c>
      <c r="J136" s="1" t="str">
        <f>IFERROR(INDEX('2024ds'!$C$2:$C$368, MATCH($B136, '2024ds'!$A$2:$A$368, 0)), "")</f>
        <v/>
      </c>
      <c r="K136" s="22" t="str">
        <f>IFERROR(INDEX('2024ds'!$D$2:$D$368, MATCH($B136, '2024ds'!$A$2:$A$368, 0)), "")</f>
        <v/>
      </c>
      <c r="L136" s="21" t="str">
        <f t="shared" si="18"/>
        <v/>
      </c>
      <c r="U136" s="3" t="str">
        <f t="shared" si="19"/>
        <v/>
      </c>
      <c r="V136" s="4" t="str">
        <f t="shared" si="20"/>
        <v/>
      </c>
      <c r="W136" s="4" t="str">
        <f t="shared" si="21"/>
        <v/>
      </c>
      <c r="X136" t="str">
        <f t="shared" si="16"/>
        <v/>
      </c>
    </row>
    <row r="137" spans="3:24">
      <c r="C137" s="12"/>
      <c r="D137" s="1"/>
      <c r="E137" s="1"/>
      <c r="F137" s="1"/>
      <c r="G137" s="11" t="str">
        <f t="shared" si="15"/>
        <v/>
      </c>
      <c r="H137" s="11" t="str">
        <f t="shared" si="17"/>
        <v/>
      </c>
      <c r="I137" s="15" t="str">
        <f>IFERROR(INDEX('2024ds'!$B$2:$B$368, MATCH($B137, '2024ds'!$A$2:$A$368, 0)), "")</f>
        <v/>
      </c>
      <c r="J137" s="1" t="str">
        <f>IFERROR(INDEX('2024ds'!$C$2:$C$368, MATCH($B137, '2024ds'!$A$2:$A$368, 0)), "")</f>
        <v/>
      </c>
      <c r="K137" s="22" t="str">
        <f>IFERROR(INDEX('2024ds'!$D$2:$D$368, MATCH($B137, '2024ds'!$A$2:$A$368, 0)), "")</f>
        <v/>
      </c>
      <c r="L137" s="21" t="str">
        <f t="shared" si="18"/>
        <v/>
      </c>
      <c r="U137" s="3" t="str">
        <f t="shared" si="19"/>
        <v/>
      </c>
      <c r="V137" s="4" t="str">
        <f t="shared" si="20"/>
        <v/>
      </c>
      <c r="W137" s="4" t="str">
        <f t="shared" si="21"/>
        <v/>
      </c>
      <c r="X137" t="str">
        <f t="shared" si="16"/>
        <v/>
      </c>
    </row>
    <row r="138" spans="3:24">
      <c r="C138" s="12"/>
      <c r="D138" s="1"/>
      <c r="E138" s="1"/>
      <c r="F138" s="1"/>
      <c r="G138" s="11" t="str">
        <f t="shared" si="15"/>
        <v/>
      </c>
      <c r="H138" s="11" t="str">
        <f t="shared" si="17"/>
        <v/>
      </c>
      <c r="I138" s="15" t="str">
        <f>IFERROR(INDEX('2024ds'!$B$2:$B$368, MATCH($B138, '2024ds'!$A$2:$A$368, 0)), "")</f>
        <v/>
      </c>
      <c r="J138" s="1" t="str">
        <f>IFERROR(INDEX('2024ds'!$C$2:$C$368, MATCH($B138, '2024ds'!$A$2:$A$368, 0)), "")</f>
        <v/>
      </c>
      <c r="K138" s="22" t="str">
        <f>IFERROR(INDEX('2024ds'!$D$2:$D$368, MATCH($B138, '2024ds'!$A$2:$A$368, 0)), "")</f>
        <v/>
      </c>
      <c r="L138" s="21" t="str">
        <f t="shared" si="18"/>
        <v/>
      </c>
      <c r="U138" s="3" t="str">
        <f t="shared" si="19"/>
        <v/>
      </c>
      <c r="V138" s="4" t="str">
        <f t="shared" si="20"/>
        <v/>
      </c>
      <c r="W138" s="4" t="str">
        <f t="shared" si="21"/>
        <v/>
      </c>
      <c r="X138" t="str">
        <f t="shared" si="16"/>
        <v/>
      </c>
    </row>
    <row r="139" spans="3:24">
      <c r="C139" s="12"/>
      <c r="D139" s="1"/>
      <c r="E139" s="1"/>
      <c r="F139" s="1"/>
      <c r="G139" s="11" t="str">
        <f t="shared" si="15"/>
        <v/>
      </c>
      <c r="H139" s="11" t="str">
        <f t="shared" si="17"/>
        <v/>
      </c>
      <c r="I139" s="15" t="str">
        <f>IFERROR(INDEX('2024ds'!$B$2:$B$368, MATCH($B139, '2024ds'!$A$2:$A$368, 0)), "")</f>
        <v/>
      </c>
      <c r="J139" s="1" t="str">
        <f>IFERROR(INDEX('2024ds'!$C$2:$C$368, MATCH($B139, '2024ds'!$A$2:$A$368, 0)), "")</f>
        <v/>
      </c>
      <c r="K139" s="22" t="str">
        <f>IFERROR(INDEX('2024ds'!$D$2:$D$368, MATCH($B139, '2024ds'!$A$2:$A$368, 0)), "")</f>
        <v/>
      </c>
      <c r="L139" s="21" t="str">
        <f t="shared" si="18"/>
        <v/>
      </c>
      <c r="U139" s="3" t="str">
        <f t="shared" si="19"/>
        <v/>
      </c>
      <c r="V139" s="4" t="str">
        <f t="shared" si="20"/>
        <v/>
      </c>
      <c r="W139" s="4" t="str">
        <f t="shared" si="21"/>
        <v/>
      </c>
      <c r="X139" t="str">
        <f t="shared" si="16"/>
        <v/>
      </c>
    </row>
    <row r="140" spans="3:24">
      <c r="C140" s="12"/>
      <c r="D140" s="1"/>
      <c r="E140" s="1"/>
      <c r="F140" s="1"/>
      <c r="G140" s="11" t="str">
        <f t="shared" si="15"/>
        <v/>
      </c>
      <c r="H140" s="11" t="str">
        <f t="shared" si="17"/>
        <v/>
      </c>
      <c r="I140" s="15" t="str">
        <f>IFERROR(INDEX('2024ds'!$B$2:$B$368, MATCH($B140, '2024ds'!$A$2:$A$368, 0)), "")</f>
        <v/>
      </c>
      <c r="J140" s="1" t="str">
        <f>IFERROR(INDEX('2024ds'!$C$2:$C$368, MATCH($B140, '2024ds'!$A$2:$A$368, 0)), "")</f>
        <v/>
      </c>
      <c r="K140" s="22" t="str">
        <f>IFERROR(INDEX('2024ds'!$D$2:$D$368, MATCH($B140, '2024ds'!$A$2:$A$368, 0)), "")</f>
        <v/>
      </c>
      <c r="L140" s="21" t="str">
        <f t="shared" si="18"/>
        <v/>
      </c>
      <c r="U140" s="3" t="str">
        <f t="shared" si="19"/>
        <v/>
      </c>
      <c r="V140" s="4" t="str">
        <f t="shared" si="20"/>
        <v/>
      </c>
      <c r="W140" s="4" t="str">
        <f t="shared" si="21"/>
        <v/>
      </c>
      <c r="X140" t="str">
        <f t="shared" si="16"/>
        <v/>
      </c>
    </row>
    <row r="141" spans="3:24">
      <c r="C141" s="12"/>
      <c r="D141" s="1"/>
      <c r="E141" s="1"/>
      <c r="F141" s="1"/>
      <c r="G141" s="11" t="str">
        <f t="shared" si="15"/>
        <v/>
      </c>
      <c r="H141" s="11" t="str">
        <f t="shared" si="17"/>
        <v/>
      </c>
      <c r="I141" s="15" t="str">
        <f>IFERROR(INDEX('2024ds'!$B$2:$B$368, MATCH($B141, '2024ds'!$A$2:$A$368, 0)), "")</f>
        <v/>
      </c>
      <c r="J141" s="1" t="str">
        <f>IFERROR(INDEX('2024ds'!$C$2:$C$368, MATCH($B141, '2024ds'!$A$2:$A$368, 0)), "")</f>
        <v/>
      </c>
      <c r="K141" s="22" t="str">
        <f>IFERROR(INDEX('2024ds'!$D$2:$D$368, MATCH($B141, '2024ds'!$A$2:$A$368, 0)), "")</f>
        <v/>
      </c>
      <c r="L141" s="21" t="str">
        <f t="shared" si="18"/>
        <v/>
      </c>
      <c r="U141" s="3" t="str">
        <f t="shared" si="19"/>
        <v/>
      </c>
      <c r="V141" s="4" t="str">
        <f t="shared" si="20"/>
        <v/>
      </c>
      <c r="W141" s="4" t="str">
        <f t="shared" si="21"/>
        <v/>
      </c>
      <c r="X141" t="str">
        <f t="shared" si="16"/>
        <v/>
      </c>
    </row>
    <row r="142" spans="3:24">
      <c r="C142" s="12"/>
      <c r="D142" s="1"/>
      <c r="E142" s="1"/>
      <c r="F142" s="1"/>
      <c r="G142" s="11" t="str">
        <f t="shared" si="15"/>
        <v/>
      </c>
      <c r="H142" s="11" t="str">
        <f t="shared" si="17"/>
        <v/>
      </c>
      <c r="I142" s="15" t="str">
        <f>IFERROR(INDEX('2024ds'!$B$2:$B$368, MATCH($B142, '2024ds'!$A$2:$A$368, 0)), "")</f>
        <v/>
      </c>
      <c r="J142" s="1" t="str">
        <f>IFERROR(INDEX('2024ds'!$C$2:$C$368, MATCH($B142, '2024ds'!$A$2:$A$368, 0)), "")</f>
        <v/>
      </c>
      <c r="K142" s="22" t="str">
        <f>IFERROR(INDEX('2024ds'!$D$2:$D$368, MATCH($B142, '2024ds'!$A$2:$A$368, 0)), "")</f>
        <v/>
      </c>
      <c r="L142" s="21" t="str">
        <f t="shared" si="18"/>
        <v/>
      </c>
      <c r="U142" s="3" t="str">
        <f t="shared" si="19"/>
        <v/>
      </c>
      <c r="V142" s="4" t="str">
        <f t="shared" si="20"/>
        <v/>
      </c>
      <c r="W142" s="4" t="str">
        <f t="shared" si="21"/>
        <v/>
      </c>
      <c r="X142" t="str">
        <f t="shared" si="16"/>
        <v/>
      </c>
    </row>
    <row r="143" spans="3:24">
      <c r="C143" s="12"/>
      <c r="D143" s="1"/>
      <c r="E143" s="1"/>
      <c r="F143" s="1"/>
      <c r="G143" s="11" t="str">
        <f t="shared" si="15"/>
        <v/>
      </c>
      <c r="H143" s="11" t="str">
        <f t="shared" si="17"/>
        <v/>
      </c>
      <c r="I143" s="15" t="str">
        <f>IFERROR(INDEX('2024ds'!$B$2:$B$368, MATCH($B143, '2024ds'!$A$2:$A$368, 0)), "")</f>
        <v/>
      </c>
      <c r="J143" s="1" t="str">
        <f>IFERROR(INDEX('2024ds'!$C$2:$C$368, MATCH($B143, '2024ds'!$A$2:$A$368, 0)), "")</f>
        <v/>
      </c>
      <c r="K143" s="22" t="str">
        <f>IFERROR(INDEX('2024ds'!$D$2:$D$368, MATCH($B143, '2024ds'!$A$2:$A$368, 0)), "")</f>
        <v/>
      </c>
      <c r="L143" s="21" t="str">
        <f t="shared" si="18"/>
        <v/>
      </c>
      <c r="U143" s="3" t="str">
        <f t="shared" si="19"/>
        <v/>
      </c>
      <c r="V143" s="4" t="str">
        <f t="shared" si="20"/>
        <v/>
      </c>
      <c r="W143" s="4" t="str">
        <f t="shared" si="21"/>
        <v/>
      </c>
      <c r="X143" t="str">
        <f t="shared" si="16"/>
        <v/>
      </c>
    </row>
    <row r="144" spans="3:24">
      <c r="C144" s="12"/>
      <c r="D144" s="1"/>
      <c r="E144" s="1"/>
      <c r="F144" s="1"/>
      <c r="G144" s="11" t="str">
        <f t="shared" si="15"/>
        <v/>
      </c>
      <c r="H144" s="11" t="str">
        <f t="shared" si="17"/>
        <v/>
      </c>
      <c r="I144" s="15" t="str">
        <f>IFERROR(INDEX('2024ds'!$B$2:$B$368, MATCH($B144, '2024ds'!$A$2:$A$368, 0)), "")</f>
        <v/>
      </c>
      <c r="J144" s="1" t="str">
        <f>IFERROR(INDEX('2024ds'!$C$2:$C$368, MATCH($B144, '2024ds'!$A$2:$A$368, 0)), "")</f>
        <v/>
      </c>
      <c r="K144" s="22" t="str">
        <f>IFERROR(INDEX('2024ds'!$D$2:$D$368, MATCH($B144, '2024ds'!$A$2:$A$368, 0)), "")</f>
        <v/>
      </c>
      <c r="L144" s="21" t="str">
        <f t="shared" si="18"/>
        <v/>
      </c>
      <c r="U144" s="3" t="str">
        <f t="shared" si="19"/>
        <v/>
      </c>
      <c r="V144" s="4" t="str">
        <f t="shared" si="20"/>
        <v/>
      </c>
      <c r="W144" s="4" t="str">
        <f t="shared" si="21"/>
        <v/>
      </c>
      <c r="X144" t="str">
        <f t="shared" si="16"/>
        <v/>
      </c>
    </row>
    <row r="145" spans="3:24">
      <c r="C145" s="12"/>
      <c r="D145" s="1"/>
      <c r="E145" s="1"/>
      <c r="F145" s="1"/>
      <c r="G145" s="11" t="str">
        <f t="shared" si="15"/>
        <v/>
      </c>
      <c r="H145" s="11" t="str">
        <f t="shared" si="17"/>
        <v/>
      </c>
      <c r="I145" s="15" t="str">
        <f>IFERROR(INDEX('2024ds'!$B$2:$B$368, MATCH($B145, '2024ds'!$A$2:$A$368, 0)), "")</f>
        <v/>
      </c>
      <c r="J145" s="1" t="str">
        <f>IFERROR(INDEX('2024ds'!$C$2:$C$368, MATCH($B145, '2024ds'!$A$2:$A$368, 0)), "")</f>
        <v/>
      </c>
      <c r="K145" s="22" t="str">
        <f>IFERROR(INDEX('2024ds'!$D$2:$D$368, MATCH($B145, '2024ds'!$A$2:$A$368, 0)), "")</f>
        <v/>
      </c>
      <c r="L145" s="21" t="str">
        <f t="shared" si="18"/>
        <v/>
      </c>
      <c r="U145" s="3" t="str">
        <f t="shared" si="19"/>
        <v/>
      </c>
      <c r="V145" s="4" t="str">
        <f t="shared" si="20"/>
        <v/>
      </c>
      <c r="W145" s="4" t="str">
        <f t="shared" si="21"/>
        <v/>
      </c>
      <c r="X145" t="str">
        <f t="shared" si="16"/>
        <v/>
      </c>
    </row>
    <row r="146" spans="3:24">
      <c r="C146" s="12"/>
      <c r="D146" s="1"/>
      <c r="E146" s="1"/>
      <c r="F146" s="1"/>
      <c r="G146" s="11" t="str">
        <f t="shared" si="15"/>
        <v/>
      </c>
      <c r="H146" s="11" t="str">
        <f t="shared" si="17"/>
        <v/>
      </c>
      <c r="I146" s="15" t="str">
        <f>IFERROR(INDEX('2024ds'!$B$2:$B$368, MATCH($B146, '2024ds'!$A$2:$A$368, 0)), "")</f>
        <v/>
      </c>
      <c r="J146" s="1" t="str">
        <f>IFERROR(INDEX('2024ds'!$C$2:$C$368, MATCH($B146, '2024ds'!$A$2:$A$368, 0)), "")</f>
        <v/>
      </c>
      <c r="K146" s="22" t="str">
        <f>IFERROR(INDEX('2024ds'!$D$2:$D$368, MATCH($B146, '2024ds'!$A$2:$A$368, 0)), "")</f>
        <v/>
      </c>
      <c r="L146" s="21" t="str">
        <f t="shared" si="18"/>
        <v/>
      </c>
      <c r="U146" s="3" t="str">
        <f t="shared" si="19"/>
        <v/>
      </c>
      <c r="V146" s="4" t="str">
        <f t="shared" si="20"/>
        <v/>
      </c>
      <c r="W146" s="4" t="str">
        <f t="shared" si="21"/>
        <v/>
      </c>
      <c r="X146" t="str">
        <f t="shared" si="16"/>
        <v/>
      </c>
    </row>
    <row r="147" spans="3:24">
      <c r="C147" s="12"/>
      <c r="D147" s="1"/>
      <c r="E147" s="1"/>
      <c r="F147" s="1"/>
      <c r="G147" s="11" t="str">
        <f t="shared" si="15"/>
        <v/>
      </c>
      <c r="H147" s="11" t="str">
        <f t="shared" si="17"/>
        <v/>
      </c>
      <c r="I147" s="15" t="str">
        <f>IFERROR(INDEX('2024ds'!$B$2:$B$368, MATCH($B147, '2024ds'!$A$2:$A$368, 0)), "")</f>
        <v/>
      </c>
      <c r="J147" s="1" t="str">
        <f>IFERROR(INDEX('2024ds'!$C$2:$C$368, MATCH($B147, '2024ds'!$A$2:$A$368, 0)), "")</f>
        <v/>
      </c>
      <c r="K147" s="22" t="str">
        <f>IFERROR(INDEX('2024ds'!$D$2:$D$368, MATCH($B147, '2024ds'!$A$2:$A$368, 0)), "")</f>
        <v/>
      </c>
      <c r="L147" s="21" t="str">
        <f t="shared" si="18"/>
        <v/>
      </c>
      <c r="U147" s="3" t="str">
        <f t="shared" si="19"/>
        <v/>
      </c>
      <c r="V147" s="4" t="str">
        <f t="shared" si="20"/>
        <v/>
      </c>
      <c r="W147" s="4" t="str">
        <f t="shared" si="21"/>
        <v/>
      </c>
      <c r="X147" t="str">
        <f t="shared" si="16"/>
        <v/>
      </c>
    </row>
    <row r="148" spans="3:24">
      <c r="C148" s="12"/>
      <c r="D148" s="1"/>
      <c r="E148" s="1"/>
      <c r="F148" s="1"/>
      <c r="G148" s="11" t="str">
        <f t="shared" si="15"/>
        <v/>
      </c>
      <c r="H148" s="11" t="str">
        <f t="shared" si="17"/>
        <v/>
      </c>
      <c r="I148" s="15" t="str">
        <f>IFERROR(INDEX('2024ds'!$B$2:$B$368, MATCH($B148, '2024ds'!$A$2:$A$368, 0)), "")</f>
        <v/>
      </c>
      <c r="J148" s="1" t="str">
        <f>IFERROR(INDEX('2024ds'!$C$2:$C$368, MATCH($B148, '2024ds'!$A$2:$A$368, 0)), "")</f>
        <v/>
      </c>
      <c r="K148" s="22" t="str">
        <f>IFERROR(INDEX('2024ds'!$D$2:$D$368, MATCH($B148, '2024ds'!$A$2:$A$368, 0)), "")</f>
        <v/>
      </c>
      <c r="L148" s="21" t="str">
        <f t="shared" si="18"/>
        <v/>
      </c>
      <c r="U148" s="3" t="str">
        <f t="shared" si="19"/>
        <v/>
      </c>
      <c r="V148" s="4" t="str">
        <f t="shared" si="20"/>
        <v/>
      </c>
      <c r="W148" s="4" t="str">
        <f t="shared" si="21"/>
        <v/>
      </c>
      <c r="X148" t="str">
        <f t="shared" si="16"/>
        <v/>
      </c>
    </row>
    <row r="149" spans="3:24">
      <c r="C149" s="12"/>
      <c r="D149" s="1"/>
      <c r="E149" s="1"/>
      <c r="F149" s="1"/>
      <c r="G149" s="11" t="str">
        <f t="shared" si="15"/>
        <v/>
      </c>
      <c r="H149" s="11" t="str">
        <f t="shared" si="17"/>
        <v/>
      </c>
      <c r="I149" s="15" t="str">
        <f>IFERROR(INDEX('2024ds'!$B$2:$B$368, MATCH($B149, '2024ds'!$A$2:$A$368, 0)), "")</f>
        <v/>
      </c>
      <c r="J149" s="1" t="str">
        <f>IFERROR(INDEX('2024ds'!$C$2:$C$368, MATCH($B149, '2024ds'!$A$2:$A$368, 0)), "")</f>
        <v/>
      </c>
      <c r="K149" s="22" t="str">
        <f>IFERROR(INDEX('2024ds'!$D$2:$D$368, MATCH($B149, '2024ds'!$A$2:$A$368, 0)), "")</f>
        <v/>
      </c>
      <c r="L149" s="21" t="str">
        <f t="shared" si="18"/>
        <v/>
      </c>
      <c r="U149" s="3" t="str">
        <f t="shared" si="19"/>
        <v/>
      </c>
      <c r="V149" s="4" t="str">
        <f t="shared" si="20"/>
        <v/>
      </c>
      <c r="W149" s="4" t="str">
        <f t="shared" si="21"/>
        <v/>
      </c>
      <c r="X149" t="str">
        <f t="shared" si="16"/>
        <v/>
      </c>
    </row>
    <row r="150" spans="3:24">
      <c r="C150" s="12"/>
      <c r="D150" s="1"/>
      <c r="E150" s="1"/>
      <c r="F150" s="1"/>
      <c r="G150" s="11" t="str">
        <f t="shared" si="15"/>
        <v/>
      </c>
      <c r="H150" s="11" t="str">
        <f t="shared" si="17"/>
        <v/>
      </c>
      <c r="I150" s="15" t="str">
        <f>IFERROR(INDEX('2024ds'!$B$2:$B$368, MATCH($B150, '2024ds'!$A$2:$A$368, 0)), "")</f>
        <v/>
      </c>
      <c r="J150" s="1" t="str">
        <f>IFERROR(INDEX('2024ds'!$C$2:$C$368, MATCH($B150, '2024ds'!$A$2:$A$368, 0)), "")</f>
        <v/>
      </c>
      <c r="K150" s="22" t="str">
        <f>IFERROR(INDEX('2024ds'!$D$2:$D$368, MATCH($B150, '2024ds'!$A$2:$A$368, 0)), "")</f>
        <v/>
      </c>
      <c r="L150" s="21" t="str">
        <f t="shared" si="18"/>
        <v/>
      </c>
      <c r="U150" s="3" t="str">
        <f t="shared" si="19"/>
        <v/>
      </c>
      <c r="V150" s="4" t="str">
        <f t="shared" si="20"/>
        <v/>
      </c>
      <c r="W150" s="4" t="str">
        <f t="shared" si="21"/>
        <v/>
      </c>
      <c r="X150" t="str">
        <f t="shared" si="16"/>
        <v/>
      </c>
    </row>
    <row r="151" spans="3:24">
      <c r="C151" s="12"/>
      <c r="D151" s="1"/>
      <c r="E151" s="1"/>
      <c r="F151" s="1"/>
      <c r="G151" s="11" t="str">
        <f t="shared" si="15"/>
        <v/>
      </c>
      <c r="H151" s="11" t="str">
        <f t="shared" si="17"/>
        <v/>
      </c>
      <c r="I151" s="15" t="str">
        <f>IFERROR(INDEX('2024ds'!$B$2:$B$368, MATCH($B151, '2024ds'!$A$2:$A$368, 0)), "")</f>
        <v/>
      </c>
      <c r="J151" s="1" t="str">
        <f>IFERROR(INDEX('2024ds'!$C$2:$C$368, MATCH($B151, '2024ds'!$A$2:$A$368, 0)), "")</f>
        <v/>
      </c>
      <c r="K151" s="22" t="str">
        <f>IFERROR(INDEX('2024ds'!$D$2:$D$368, MATCH($B151, '2024ds'!$A$2:$A$368, 0)), "")</f>
        <v/>
      </c>
      <c r="L151" s="21" t="str">
        <f t="shared" si="18"/>
        <v/>
      </c>
      <c r="U151" s="3" t="str">
        <f t="shared" si="19"/>
        <v/>
      </c>
      <c r="V151" s="4" t="str">
        <f t="shared" si="20"/>
        <v/>
      </c>
      <c r="W151" s="4" t="str">
        <f t="shared" si="21"/>
        <v/>
      </c>
      <c r="X151" t="str">
        <f t="shared" si="16"/>
        <v/>
      </c>
    </row>
    <row r="152" spans="3:24">
      <c r="C152" s="12"/>
      <c r="D152" s="1"/>
      <c r="E152" s="1"/>
      <c r="F152" s="1"/>
      <c r="G152" s="11" t="str">
        <f t="shared" si="15"/>
        <v/>
      </c>
      <c r="H152" s="11" t="str">
        <f t="shared" si="17"/>
        <v/>
      </c>
      <c r="I152" s="15" t="str">
        <f>IFERROR(INDEX('2024ds'!$B$2:$B$368, MATCH($B152, '2024ds'!$A$2:$A$368, 0)), "")</f>
        <v/>
      </c>
      <c r="J152" s="1" t="str">
        <f>IFERROR(INDEX('2024ds'!$C$2:$C$368, MATCH($B152, '2024ds'!$A$2:$A$368, 0)), "")</f>
        <v/>
      </c>
      <c r="K152" s="22" t="str">
        <f>IFERROR(INDEX('2024ds'!$D$2:$D$368, MATCH($B152, '2024ds'!$A$2:$A$368, 0)), "")</f>
        <v/>
      </c>
      <c r="L152" s="21" t="str">
        <f t="shared" si="18"/>
        <v/>
      </c>
      <c r="U152" s="3" t="str">
        <f t="shared" si="19"/>
        <v/>
      </c>
      <c r="V152" s="4" t="str">
        <f t="shared" si="20"/>
        <v/>
      </c>
      <c r="W152" s="4" t="str">
        <f t="shared" si="21"/>
        <v/>
      </c>
      <c r="X152" t="str">
        <f t="shared" si="16"/>
        <v/>
      </c>
    </row>
    <row r="153" spans="3:24">
      <c r="C153" s="12"/>
      <c r="D153" s="1"/>
      <c r="E153" s="1"/>
      <c r="F153" s="1"/>
      <c r="G153" s="11" t="str">
        <f t="shared" si="15"/>
        <v/>
      </c>
      <c r="H153" s="11" t="str">
        <f t="shared" si="17"/>
        <v/>
      </c>
      <c r="I153" s="15" t="str">
        <f>IFERROR(INDEX('2024ds'!$B$2:$B$368, MATCH($B153, '2024ds'!$A$2:$A$368, 0)), "")</f>
        <v/>
      </c>
      <c r="J153" s="1" t="str">
        <f>IFERROR(INDEX('2024ds'!$C$2:$C$368, MATCH($B153, '2024ds'!$A$2:$A$368, 0)), "")</f>
        <v/>
      </c>
      <c r="K153" s="22" t="str">
        <f>IFERROR(INDEX('2024ds'!$D$2:$D$368, MATCH($B153, '2024ds'!$A$2:$A$368, 0)), "")</f>
        <v/>
      </c>
      <c r="L153" s="21" t="str">
        <f t="shared" si="18"/>
        <v/>
      </c>
      <c r="U153" s="3" t="str">
        <f t="shared" si="19"/>
        <v/>
      </c>
      <c r="V153" s="4" t="str">
        <f t="shared" si="20"/>
        <v/>
      </c>
      <c r="W153" s="4" t="str">
        <f t="shared" si="21"/>
        <v/>
      </c>
      <c r="X153" t="str">
        <f t="shared" si="16"/>
        <v/>
      </c>
    </row>
    <row r="154" spans="3:24">
      <c r="C154" s="12"/>
      <c r="D154" s="1"/>
      <c r="E154" s="1"/>
      <c r="F154" s="1"/>
      <c r="G154" s="11" t="str">
        <f t="shared" si="15"/>
        <v/>
      </c>
      <c r="H154" s="11" t="str">
        <f t="shared" si="17"/>
        <v/>
      </c>
      <c r="I154" s="15" t="str">
        <f>IFERROR(INDEX('2024ds'!$B$2:$B$368, MATCH($B154, '2024ds'!$A$2:$A$368, 0)), "")</f>
        <v/>
      </c>
      <c r="J154" s="1" t="str">
        <f>IFERROR(INDEX('2024ds'!$C$2:$C$368, MATCH($B154, '2024ds'!$A$2:$A$368, 0)), "")</f>
        <v/>
      </c>
      <c r="K154" s="22" t="str">
        <f>IFERROR(INDEX('2024ds'!$D$2:$D$368, MATCH($B154, '2024ds'!$A$2:$A$368, 0)), "")</f>
        <v/>
      </c>
      <c r="L154" s="21" t="str">
        <f t="shared" si="18"/>
        <v/>
      </c>
      <c r="U154" s="3" t="str">
        <f t="shared" si="19"/>
        <v/>
      </c>
      <c r="V154" s="4" t="str">
        <f t="shared" si="20"/>
        <v/>
      </c>
      <c r="W154" s="4" t="str">
        <f t="shared" si="21"/>
        <v/>
      </c>
      <c r="X154" t="str">
        <f t="shared" si="16"/>
        <v/>
      </c>
    </row>
    <row r="155" spans="3:24">
      <c r="C155" s="12"/>
      <c r="D155" s="1"/>
      <c r="E155" s="1"/>
      <c r="F155" s="1"/>
      <c r="G155" s="11" t="str">
        <f t="shared" si="15"/>
        <v/>
      </c>
      <c r="H155" s="11" t="str">
        <f t="shared" si="17"/>
        <v/>
      </c>
      <c r="I155" s="15" t="str">
        <f>IFERROR(INDEX('2024ds'!$B$2:$B$368, MATCH($B155, '2024ds'!$A$2:$A$368, 0)), "")</f>
        <v/>
      </c>
      <c r="J155" s="1" t="str">
        <f>IFERROR(INDEX('2024ds'!$C$2:$C$368, MATCH($B155, '2024ds'!$A$2:$A$368, 0)), "")</f>
        <v/>
      </c>
      <c r="K155" s="22" t="str">
        <f>IFERROR(INDEX('2024ds'!$D$2:$D$368, MATCH($B155, '2024ds'!$A$2:$A$368, 0)), "")</f>
        <v/>
      </c>
      <c r="L155" s="21" t="str">
        <f t="shared" si="18"/>
        <v/>
      </c>
      <c r="U155" s="3" t="str">
        <f t="shared" si="19"/>
        <v/>
      </c>
      <c r="V155" s="4" t="str">
        <f t="shared" si="20"/>
        <v/>
      </c>
      <c r="W155" s="4" t="str">
        <f t="shared" si="21"/>
        <v/>
      </c>
      <c r="X155" t="str">
        <f t="shared" si="16"/>
        <v/>
      </c>
    </row>
    <row r="156" spans="3:24">
      <c r="C156" s="12"/>
      <c r="D156" s="1"/>
      <c r="E156" s="1"/>
      <c r="F156" s="1"/>
      <c r="G156" s="11" t="str">
        <f t="shared" si="15"/>
        <v/>
      </c>
      <c r="H156" s="11" t="str">
        <f t="shared" si="17"/>
        <v/>
      </c>
      <c r="I156" s="15" t="str">
        <f>IFERROR(INDEX('2024ds'!$B$2:$B$368, MATCH($B156, '2024ds'!$A$2:$A$368, 0)), "")</f>
        <v/>
      </c>
      <c r="J156" s="1" t="str">
        <f>IFERROR(INDEX('2024ds'!$C$2:$C$368, MATCH($B156, '2024ds'!$A$2:$A$368, 0)), "")</f>
        <v/>
      </c>
      <c r="K156" s="22" t="str">
        <f>IFERROR(INDEX('2024ds'!$D$2:$D$368, MATCH($B156, '2024ds'!$A$2:$A$368, 0)), "")</f>
        <v/>
      </c>
      <c r="L156" s="21" t="str">
        <f t="shared" si="18"/>
        <v/>
      </c>
      <c r="U156" s="3" t="str">
        <f t="shared" si="19"/>
        <v/>
      </c>
      <c r="V156" s="4" t="str">
        <f t="shared" si="20"/>
        <v/>
      </c>
      <c r="W156" s="4" t="str">
        <f t="shared" si="21"/>
        <v/>
      </c>
      <c r="X156" t="str">
        <f t="shared" si="16"/>
        <v/>
      </c>
    </row>
    <row r="157" spans="3:24">
      <c r="C157" s="12"/>
      <c r="D157" s="1"/>
      <c r="E157" s="1"/>
      <c r="F157" s="1"/>
      <c r="G157" s="11" t="str">
        <f t="shared" si="15"/>
        <v/>
      </c>
      <c r="H157" s="11" t="str">
        <f t="shared" si="17"/>
        <v/>
      </c>
      <c r="I157" s="15" t="str">
        <f>IFERROR(INDEX('2024ds'!$B$2:$B$368, MATCH($B157, '2024ds'!$A$2:$A$368, 0)), "")</f>
        <v/>
      </c>
      <c r="J157" s="1" t="str">
        <f>IFERROR(INDEX('2024ds'!$C$2:$C$368, MATCH($B157, '2024ds'!$A$2:$A$368, 0)), "")</f>
        <v/>
      </c>
      <c r="K157" s="22" t="str">
        <f>IFERROR(INDEX('2024ds'!$D$2:$D$368, MATCH($B157, '2024ds'!$A$2:$A$368, 0)), "")</f>
        <v/>
      </c>
      <c r="L157" s="21" t="str">
        <f t="shared" si="18"/>
        <v/>
      </c>
      <c r="U157" s="3" t="str">
        <f t="shared" si="19"/>
        <v/>
      </c>
      <c r="V157" s="4" t="str">
        <f t="shared" si="20"/>
        <v/>
      </c>
      <c r="W157" s="4" t="str">
        <f t="shared" si="21"/>
        <v/>
      </c>
      <c r="X157" t="str">
        <f t="shared" si="16"/>
        <v/>
      </c>
    </row>
    <row r="158" spans="3:24">
      <c r="C158" s="12"/>
      <c r="D158" s="1"/>
      <c r="E158" s="1"/>
      <c r="F158" s="1"/>
      <c r="G158" s="11" t="str">
        <f t="shared" si="15"/>
        <v/>
      </c>
      <c r="H158" s="11" t="str">
        <f t="shared" si="17"/>
        <v/>
      </c>
      <c r="I158" s="15" t="str">
        <f>IFERROR(INDEX('2024ds'!$B$2:$B$368, MATCH($B158, '2024ds'!$A$2:$A$368, 0)), "")</f>
        <v/>
      </c>
      <c r="J158" s="1" t="str">
        <f>IFERROR(INDEX('2024ds'!$C$2:$C$368, MATCH($B158, '2024ds'!$A$2:$A$368, 0)), "")</f>
        <v/>
      </c>
      <c r="K158" s="22" t="str">
        <f>IFERROR(INDEX('2024ds'!$D$2:$D$368, MATCH($B158, '2024ds'!$A$2:$A$368, 0)), "")</f>
        <v/>
      </c>
      <c r="L158" s="21" t="str">
        <f t="shared" si="18"/>
        <v/>
      </c>
      <c r="U158" s="3" t="str">
        <f t="shared" si="19"/>
        <v/>
      </c>
      <c r="V158" s="4" t="str">
        <f t="shared" si="20"/>
        <v/>
      </c>
      <c r="W158" s="4" t="str">
        <f t="shared" si="21"/>
        <v/>
      </c>
      <c r="X158" t="str">
        <f t="shared" si="16"/>
        <v/>
      </c>
    </row>
    <row r="159" spans="3:24">
      <c r="C159" s="12"/>
      <c r="D159" s="1"/>
      <c r="E159" s="1"/>
      <c r="F159" s="1"/>
      <c r="G159" s="11" t="str">
        <f t="shared" si="15"/>
        <v/>
      </c>
      <c r="H159" s="11" t="str">
        <f t="shared" si="17"/>
        <v/>
      </c>
      <c r="I159" s="15" t="str">
        <f>IFERROR(INDEX('2024ds'!$B$2:$B$368, MATCH($B159, '2024ds'!$A$2:$A$368, 0)), "")</f>
        <v/>
      </c>
      <c r="J159" s="1" t="str">
        <f>IFERROR(INDEX('2024ds'!$C$2:$C$368, MATCH($B159, '2024ds'!$A$2:$A$368, 0)), "")</f>
        <v/>
      </c>
      <c r="K159" s="22" t="str">
        <f>IFERROR(INDEX('2024ds'!$D$2:$D$368, MATCH($B159, '2024ds'!$A$2:$A$368, 0)), "")</f>
        <v/>
      </c>
      <c r="L159" s="21" t="str">
        <f t="shared" si="18"/>
        <v/>
      </c>
      <c r="U159" s="3" t="str">
        <f t="shared" si="19"/>
        <v/>
      </c>
      <c r="V159" s="4" t="str">
        <f t="shared" si="20"/>
        <v/>
      </c>
      <c r="W159" s="4" t="str">
        <f t="shared" si="21"/>
        <v/>
      </c>
      <c r="X159" t="str">
        <f t="shared" si="16"/>
        <v/>
      </c>
    </row>
    <row r="160" spans="3:24">
      <c r="C160" s="12"/>
      <c r="D160" s="1"/>
      <c r="E160" s="1"/>
      <c r="F160" s="1"/>
      <c r="G160" s="11" t="str">
        <f t="shared" si="15"/>
        <v/>
      </c>
      <c r="H160" s="11" t="str">
        <f t="shared" si="17"/>
        <v/>
      </c>
      <c r="I160" s="15" t="str">
        <f>IFERROR(INDEX('2024ds'!$B$2:$B$368, MATCH($B160, '2024ds'!$A$2:$A$368, 0)), "")</f>
        <v/>
      </c>
      <c r="J160" s="1" t="str">
        <f>IFERROR(INDEX('2024ds'!$C$2:$C$368, MATCH($B160, '2024ds'!$A$2:$A$368, 0)), "")</f>
        <v/>
      </c>
      <c r="K160" s="22" t="str">
        <f>IFERROR(INDEX('2024ds'!$D$2:$D$368, MATCH($B160, '2024ds'!$A$2:$A$368, 0)), "")</f>
        <v/>
      </c>
      <c r="L160" s="21" t="str">
        <f t="shared" si="18"/>
        <v/>
      </c>
      <c r="U160" s="3" t="str">
        <f t="shared" si="19"/>
        <v/>
      </c>
      <c r="V160" s="4" t="str">
        <f t="shared" si="20"/>
        <v/>
      </c>
      <c r="W160" s="4" t="str">
        <f t="shared" si="21"/>
        <v/>
      </c>
      <c r="X160" t="str">
        <f t="shared" si="16"/>
        <v/>
      </c>
    </row>
    <row r="161" spans="3:24">
      <c r="C161" s="12"/>
      <c r="D161" s="1"/>
      <c r="E161" s="1"/>
      <c r="F161" s="1"/>
      <c r="G161" s="11" t="str">
        <f t="shared" si="15"/>
        <v/>
      </c>
      <c r="H161" s="11" t="str">
        <f t="shared" si="17"/>
        <v/>
      </c>
      <c r="I161" s="15" t="str">
        <f>IFERROR(INDEX('2024ds'!$B$2:$B$368, MATCH($B161, '2024ds'!$A$2:$A$368, 0)), "")</f>
        <v/>
      </c>
      <c r="J161" s="1" t="str">
        <f>IFERROR(INDEX('2024ds'!$C$2:$C$368, MATCH($B161, '2024ds'!$A$2:$A$368, 0)), "")</f>
        <v/>
      </c>
      <c r="K161" s="22" t="str">
        <f>IFERROR(INDEX('2024ds'!$D$2:$D$368, MATCH($B161, '2024ds'!$A$2:$A$368, 0)), "")</f>
        <v/>
      </c>
      <c r="L161" s="21" t="str">
        <f t="shared" si="18"/>
        <v/>
      </c>
      <c r="U161" s="3" t="str">
        <f t="shared" si="19"/>
        <v/>
      </c>
      <c r="V161" s="4" t="str">
        <f t="shared" si="20"/>
        <v/>
      </c>
      <c r="W161" s="4" t="str">
        <f t="shared" si="21"/>
        <v/>
      </c>
      <c r="X161" t="str">
        <f t="shared" si="16"/>
        <v/>
      </c>
    </row>
    <row r="162" spans="3:24">
      <c r="C162" s="12"/>
      <c r="D162" s="1"/>
      <c r="E162" s="1"/>
      <c r="F162" s="1"/>
      <c r="G162" s="11" t="str">
        <f t="shared" si="15"/>
        <v/>
      </c>
      <c r="H162" s="11" t="str">
        <f t="shared" si="17"/>
        <v/>
      </c>
      <c r="I162" s="15" t="str">
        <f>IFERROR(INDEX('2024ds'!$B$2:$B$368, MATCH($B162, '2024ds'!$A$2:$A$368, 0)), "")</f>
        <v/>
      </c>
      <c r="J162" s="1" t="str">
        <f>IFERROR(INDEX('2024ds'!$C$2:$C$368, MATCH($B162, '2024ds'!$A$2:$A$368, 0)), "")</f>
        <v/>
      </c>
      <c r="K162" s="22" t="str">
        <f>IFERROR(INDEX('2024ds'!$D$2:$D$368, MATCH($B162, '2024ds'!$A$2:$A$368, 0)), "")</f>
        <v/>
      </c>
      <c r="L162" s="21" t="str">
        <f t="shared" si="18"/>
        <v/>
      </c>
      <c r="U162" s="3" t="str">
        <f t="shared" si="19"/>
        <v/>
      </c>
      <c r="V162" s="4" t="str">
        <f t="shared" si="20"/>
        <v/>
      </c>
      <c r="W162" s="4" t="str">
        <f t="shared" si="21"/>
        <v/>
      </c>
      <c r="X162" t="str">
        <f t="shared" si="16"/>
        <v/>
      </c>
    </row>
    <row r="163" spans="3:24">
      <c r="C163" s="12"/>
      <c r="D163" s="1"/>
      <c r="E163" s="1"/>
      <c r="F163" s="1"/>
      <c r="G163" s="11" t="str">
        <f t="shared" si="15"/>
        <v/>
      </c>
      <c r="H163" s="11" t="str">
        <f t="shared" si="17"/>
        <v/>
      </c>
      <c r="I163" s="15" t="str">
        <f>IFERROR(INDEX('2024ds'!$B$2:$B$368, MATCH($B163, '2024ds'!$A$2:$A$368, 0)), "")</f>
        <v/>
      </c>
      <c r="J163" s="1" t="str">
        <f>IFERROR(INDEX('2024ds'!$C$2:$C$368, MATCH($B163, '2024ds'!$A$2:$A$368, 0)), "")</f>
        <v/>
      </c>
      <c r="K163" s="22" t="str">
        <f>IFERROR(INDEX('2024ds'!$D$2:$D$368, MATCH($B163, '2024ds'!$A$2:$A$368, 0)), "")</f>
        <v/>
      </c>
      <c r="L163" s="21" t="str">
        <f t="shared" si="18"/>
        <v/>
      </c>
      <c r="U163" s="3" t="str">
        <f t="shared" si="19"/>
        <v/>
      </c>
      <c r="V163" s="4" t="str">
        <f t="shared" si="20"/>
        <v/>
      </c>
      <c r="W163" s="4" t="str">
        <f t="shared" si="21"/>
        <v/>
      </c>
      <c r="X163" t="str">
        <f t="shared" si="16"/>
        <v/>
      </c>
    </row>
    <row r="164" spans="3:24">
      <c r="C164" s="12"/>
      <c r="D164" s="1"/>
      <c r="E164" s="1"/>
      <c r="F164" s="1"/>
      <c r="G164" s="11" t="str">
        <f t="shared" si="15"/>
        <v/>
      </c>
      <c r="H164" s="11" t="str">
        <f t="shared" si="17"/>
        <v/>
      </c>
      <c r="I164" s="15" t="str">
        <f>IFERROR(INDEX('2024ds'!$B$2:$B$368, MATCH($B164, '2024ds'!$A$2:$A$368, 0)), "")</f>
        <v/>
      </c>
      <c r="J164" s="1" t="str">
        <f>IFERROR(INDEX('2024ds'!$C$2:$C$368, MATCH($B164, '2024ds'!$A$2:$A$368, 0)), "")</f>
        <v/>
      </c>
      <c r="K164" s="22" t="str">
        <f>IFERROR(INDEX('2024ds'!$D$2:$D$368, MATCH($B164, '2024ds'!$A$2:$A$368, 0)), "")</f>
        <v/>
      </c>
      <c r="L164" s="21" t="str">
        <f t="shared" si="18"/>
        <v/>
      </c>
      <c r="U164" s="3" t="str">
        <f t="shared" si="19"/>
        <v/>
      </c>
      <c r="V164" s="4" t="str">
        <f t="shared" si="20"/>
        <v/>
      </c>
      <c r="W164" s="4" t="str">
        <f t="shared" si="21"/>
        <v/>
      </c>
      <c r="X164" t="str">
        <f t="shared" si="16"/>
        <v/>
      </c>
    </row>
    <row r="165" spans="3:24">
      <c r="C165" s="12"/>
      <c r="D165" s="1"/>
      <c r="E165" s="1"/>
      <c r="F165" s="1"/>
      <c r="G165" s="11" t="str">
        <f t="shared" si="15"/>
        <v/>
      </c>
      <c r="H165" s="11" t="str">
        <f t="shared" si="17"/>
        <v/>
      </c>
      <c r="I165" s="15" t="str">
        <f>IFERROR(INDEX('2024ds'!$B$2:$B$368, MATCH($B165, '2024ds'!$A$2:$A$368, 0)), "")</f>
        <v/>
      </c>
      <c r="J165" s="1" t="str">
        <f>IFERROR(INDEX('2024ds'!$C$2:$C$368, MATCH($B165, '2024ds'!$A$2:$A$368, 0)), "")</f>
        <v/>
      </c>
      <c r="K165" s="22" t="str">
        <f>IFERROR(INDEX('2024ds'!$D$2:$D$368, MATCH($B165, '2024ds'!$A$2:$A$368, 0)), "")</f>
        <v/>
      </c>
      <c r="L165" s="21" t="str">
        <f t="shared" si="18"/>
        <v/>
      </c>
      <c r="U165" s="3" t="str">
        <f t="shared" si="19"/>
        <v/>
      </c>
      <c r="V165" s="4" t="str">
        <f t="shared" si="20"/>
        <v/>
      </c>
      <c r="W165" s="4" t="str">
        <f t="shared" si="21"/>
        <v/>
      </c>
      <c r="X165" t="str">
        <f t="shared" si="16"/>
        <v/>
      </c>
    </row>
    <row r="166" spans="3:24">
      <c r="C166" s="12"/>
      <c r="D166" s="1"/>
      <c r="E166" s="1"/>
      <c r="F166" s="1"/>
      <c r="G166" s="11" t="str">
        <f t="shared" si="15"/>
        <v/>
      </c>
      <c r="H166" s="11" t="str">
        <f t="shared" si="17"/>
        <v/>
      </c>
      <c r="I166" s="15" t="str">
        <f>IFERROR(INDEX('2024ds'!$B$2:$B$368, MATCH($B166, '2024ds'!$A$2:$A$368, 0)), "")</f>
        <v/>
      </c>
      <c r="J166" s="1" t="str">
        <f>IFERROR(INDEX('2024ds'!$C$2:$C$368, MATCH($B166, '2024ds'!$A$2:$A$368, 0)), "")</f>
        <v/>
      </c>
      <c r="K166" s="22" t="str">
        <f>IFERROR(INDEX('2024ds'!$D$2:$D$368, MATCH($B166, '2024ds'!$A$2:$A$368, 0)), "")</f>
        <v/>
      </c>
      <c r="L166" s="21" t="str">
        <f t="shared" si="18"/>
        <v/>
      </c>
      <c r="U166" s="3" t="str">
        <f t="shared" si="19"/>
        <v/>
      </c>
      <c r="V166" s="4" t="str">
        <f t="shared" si="20"/>
        <v/>
      </c>
      <c r="W166" s="4" t="str">
        <f t="shared" si="21"/>
        <v/>
      </c>
      <c r="X166" t="str">
        <f t="shared" si="16"/>
        <v/>
      </c>
    </row>
    <row r="167" spans="3:24">
      <c r="C167" s="12"/>
      <c r="D167" s="1"/>
      <c r="E167" s="1"/>
      <c r="F167" s="1"/>
      <c r="G167" s="11" t="str">
        <f t="shared" si="15"/>
        <v/>
      </c>
      <c r="H167" s="11" t="str">
        <f t="shared" si="17"/>
        <v/>
      </c>
      <c r="I167" s="15" t="str">
        <f>IFERROR(INDEX('2024ds'!$B$2:$B$368, MATCH($B167, '2024ds'!$A$2:$A$368, 0)), "")</f>
        <v/>
      </c>
      <c r="J167" s="1" t="str">
        <f>IFERROR(INDEX('2024ds'!$C$2:$C$368, MATCH($B167, '2024ds'!$A$2:$A$368, 0)), "")</f>
        <v/>
      </c>
      <c r="K167" s="22" t="str">
        <f>IFERROR(INDEX('2024ds'!$D$2:$D$368, MATCH($B167, '2024ds'!$A$2:$A$368, 0)), "")</f>
        <v/>
      </c>
      <c r="L167" s="21" t="str">
        <f t="shared" si="18"/>
        <v/>
      </c>
      <c r="U167" s="3" t="str">
        <f t="shared" si="19"/>
        <v/>
      </c>
      <c r="V167" s="4" t="str">
        <f t="shared" si="20"/>
        <v/>
      </c>
      <c r="W167" s="4" t="str">
        <f t="shared" si="21"/>
        <v/>
      </c>
      <c r="X167" t="str">
        <f t="shared" si="16"/>
        <v/>
      </c>
    </row>
    <row r="168" spans="3:24">
      <c r="C168" s="12"/>
      <c r="D168" s="1"/>
      <c r="E168" s="1"/>
      <c r="F168" s="1"/>
      <c r="G168" s="11" t="str">
        <f t="shared" si="15"/>
        <v/>
      </c>
      <c r="H168" s="11" t="str">
        <f t="shared" si="17"/>
        <v/>
      </c>
      <c r="I168" s="15" t="str">
        <f>IFERROR(INDEX('2024ds'!$B$2:$B$368, MATCH($B168, '2024ds'!$A$2:$A$368, 0)), "")</f>
        <v/>
      </c>
      <c r="J168" s="1" t="str">
        <f>IFERROR(INDEX('2024ds'!$C$2:$C$368, MATCH($B168, '2024ds'!$A$2:$A$368, 0)), "")</f>
        <v/>
      </c>
      <c r="K168" s="22" t="str">
        <f>IFERROR(INDEX('2024ds'!$D$2:$D$368, MATCH($B168, '2024ds'!$A$2:$A$368, 0)), "")</f>
        <v/>
      </c>
      <c r="L168" s="21" t="str">
        <f t="shared" si="18"/>
        <v/>
      </c>
      <c r="U168" s="3" t="str">
        <f t="shared" si="19"/>
        <v/>
      </c>
      <c r="V168" s="4" t="str">
        <f t="shared" si="20"/>
        <v/>
      </c>
      <c r="W168" s="4" t="str">
        <f t="shared" si="21"/>
        <v/>
      </c>
      <c r="X168" t="str">
        <f t="shared" si="16"/>
        <v/>
      </c>
    </row>
    <row r="169" spans="3:24">
      <c r="C169" s="12"/>
      <c r="D169" s="1"/>
      <c r="E169" s="1"/>
      <c r="F169" s="1"/>
      <c r="G169" s="11" t="str">
        <f t="shared" si="15"/>
        <v/>
      </c>
      <c r="H169" s="11" t="str">
        <f t="shared" si="17"/>
        <v/>
      </c>
      <c r="I169" s="15" t="str">
        <f>IFERROR(INDEX('2024ds'!$B$2:$B$368, MATCH($B169, '2024ds'!$A$2:$A$368, 0)), "")</f>
        <v/>
      </c>
      <c r="J169" s="1" t="str">
        <f>IFERROR(INDEX('2024ds'!$C$2:$C$368, MATCH($B169, '2024ds'!$A$2:$A$368, 0)), "")</f>
        <v/>
      </c>
      <c r="K169" s="22" t="str">
        <f>IFERROR(INDEX('2024ds'!$D$2:$D$368, MATCH($B169, '2024ds'!$A$2:$A$368, 0)), "")</f>
        <v/>
      </c>
      <c r="L169" s="21" t="str">
        <f t="shared" si="18"/>
        <v/>
      </c>
      <c r="U169" s="3" t="str">
        <f t="shared" si="19"/>
        <v/>
      </c>
      <c r="V169" s="4" t="str">
        <f t="shared" si="20"/>
        <v/>
      </c>
      <c r="W169" s="4" t="str">
        <f t="shared" si="21"/>
        <v/>
      </c>
      <c r="X169" t="str">
        <f t="shared" si="16"/>
        <v/>
      </c>
    </row>
    <row r="170" spans="3:24">
      <c r="C170" s="12"/>
      <c r="D170" s="1"/>
      <c r="E170" s="1"/>
      <c r="F170" s="1"/>
      <c r="G170" s="11" t="str">
        <f t="shared" si="15"/>
        <v/>
      </c>
      <c r="H170" s="11" t="str">
        <f t="shared" si="17"/>
        <v/>
      </c>
      <c r="I170" s="15" t="str">
        <f>IFERROR(INDEX('2024ds'!$B$2:$B$368, MATCH($B170, '2024ds'!$A$2:$A$368, 0)), "")</f>
        <v/>
      </c>
      <c r="J170" s="1" t="str">
        <f>IFERROR(INDEX('2024ds'!$C$2:$C$368, MATCH($B170, '2024ds'!$A$2:$A$368, 0)), "")</f>
        <v/>
      </c>
      <c r="K170" s="22" t="str">
        <f>IFERROR(INDEX('2024ds'!$D$2:$D$368, MATCH($B170, '2024ds'!$A$2:$A$368, 0)), "")</f>
        <v/>
      </c>
      <c r="L170" s="21" t="str">
        <f t="shared" si="18"/>
        <v/>
      </c>
      <c r="U170" s="3" t="str">
        <f t="shared" si="19"/>
        <v/>
      </c>
      <c r="V170" s="4" t="str">
        <f t="shared" si="20"/>
        <v/>
      </c>
      <c r="W170" s="4" t="str">
        <f t="shared" si="21"/>
        <v/>
      </c>
      <c r="X170" t="str">
        <f t="shared" si="16"/>
        <v/>
      </c>
    </row>
    <row r="171" spans="3:24">
      <c r="C171" s="12"/>
      <c r="D171" s="1"/>
      <c r="E171" s="1"/>
      <c r="F171" s="1"/>
      <c r="G171" s="11" t="str">
        <f t="shared" si="15"/>
        <v/>
      </c>
      <c r="H171" s="11" t="str">
        <f t="shared" si="17"/>
        <v/>
      </c>
      <c r="I171" s="15" t="str">
        <f>IFERROR(INDEX('2024ds'!$B$2:$B$368, MATCH($B171, '2024ds'!$A$2:$A$368, 0)), "")</f>
        <v/>
      </c>
      <c r="J171" s="1" t="str">
        <f>IFERROR(INDEX('2024ds'!$C$2:$C$368, MATCH($B171, '2024ds'!$A$2:$A$368, 0)), "")</f>
        <v/>
      </c>
      <c r="K171" s="22" t="str">
        <f>IFERROR(INDEX('2024ds'!$D$2:$D$368, MATCH($B171, '2024ds'!$A$2:$A$368, 0)), "")</f>
        <v/>
      </c>
      <c r="L171" s="21" t="str">
        <f t="shared" si="18"/>
        <v/>
      </c>
      <c r="U171" s="3" t="str">
        <f t="shared" si="19"/>
        <v/>
      </c>
      <c r="V171" s="4" t="str">
        <f t="shared" si="20"/>
        <v/>
      </c>
      <c r="W171" s="4" t="str">
        <f t="shared" si="21"/>
        <v/>
      </c>
      <c r="X171" t="str">
        <f t="shared" si="16"/>
        <v/>
      </c>
    </row>
    <row r="172" spans="3:24">
      <c r="C172" s="12"/>
      <c r="D172" s="1"/>
      <c r="E172" s="1"/>
      <c r="F172" s="1"/>
      <c r="G172" s="11" t="str">
        <f t="shared" si="15"/>
        <v/>
      </c>
      <c r="H172" s="11" t="str">
        <f t="shared" si="17"/>
        <v/>
      </c>
      <c r="I172" s="15" t="str">
        <f>IFERROR(INDEX('2024ds'!$B$2:$B$368, MATCH($B172, '2024ds'!$A$2:$A$368, 0)), "")</f>
        <v/>
      </c>
      <c r="J172" s="1" t="str">
        <f>IFERROR(INDEX('2024ds'!$C$2:$C$368, MATCH($B172, '2024ds'!$A$2:$A$368, 0)), "")</f>
        <v/>
      </c>
      <c r="K172" s="22" t="str">
        <f>IFERROR(INDEX('2024ds'!$D$2:$D$368, MATCH($B172, '2024ds'!$A$2:$A$368, 0)), "")</f>
        <v/>
      </c>
      <c r="L172" s="21" t="str">
        <f t="shared" si="18"/>
        <v/>
      </c>
      <c r="U172" s="3" t="str">
        <f t="shared" si="19"/>
        <v/>
      </c>
      <c r="V172" s="4" t="str">
        <f t="shared" si="20"/>
        <v/>
      </c>
      <c r="W172" s="4" t="str">
        <f t="shared" si="21"/>
        <v/>
      </c>
      <c r="X172" t="str">
        <f t="shared" si="16"/>
        <v/>
      </c>
    </row>
    <row r="173" spans="3:24">
      <c r="C173" s="12"/>
      <c r="D173" s="1"/>
      <c r="E173" s="1"/>
      <c r="F173" s="1"/>
      <c r="G173" s="11" t="str">
        <f t="shared" si="15"/>
        <v/>
      </c>
      <c r="H173" s="11" t="str">
        <f t="shared" si="17"/>
        <v/>
      </c>
      <c r="I173" s="15" t="str">
        <f>IFERROR(INDEX('2024ds'!$B$2:$B$368, MATCH($B173, '2024ds'!$A$2:$A$368, 0)), "")</f>
        <v/>
      </c>
      <c r="J173" s="1" t="str">
        <f>IFERROR(INDEX('2024ds'!$C$2:$C$368, MATCH($B173, '2024ds'!$A$2:$A$368, 0)), "")</f>
        <v/>
      </c>
      <c r="K173" s="22" t="str">
        <f>IFERROR(INDEX('2024ds'!$D$2:$D$368, MATCH($B173, '2024ds'!$A$2:$A$368, 0)), "")</f>
        <v/>
      </c>
      <c r="L173" s="21" t="str">
        <f t="shared" si="18"/>
        <v/>
      </c>
      <c r="U173" s="3" t="str">
        <f t="shared" si="19"/>
        <v/>
      </c>
      <c r="V173" s="4" t="str">
        <f t="shared" si="20"/>
        <v/>
      </c>
      <c r="W173" s="4" t="str">
        <f t="shared" si="21"/>
        <v/>
      </c>
      <c r="X173" t="str">
        <f t="shared" si="16"/>
        <v/>
      </c>
    </row>
    <row r="174" spans="3:24">
      <c r="C174" s="12"/>
      <c r="D174" s="1"/>
      <c r="E174" s="1"/>
      <c r="F174" s="1"/>
      <c r="G174" s="11" t="str">
        <f t="shared" si="15"/>
        <v/>
      </c>
      <c r="H174" s="11" t="str">
        <f t="shared" si="17"/>
        <v/>
      </c>
      <c r="I174" s="15" t="str">
        <f>IFERROR(INDEX('2024ds'!$B$2:$B$368, MATCH($B174, '2024ds'!$A$2:$A$368, 0)), "")</f>
        <v/>
      </c>
      <c r="J174" s="1" t="str">
        <f>IFERROR(INDEX('2024ds'!$C$2:$C$368, MATCH($B174, '2024ds'!$A$2:$A$368, 0)), "")</f>
        <v/>
      </c>
      <c r="K174" s="22" t="str">
        <f>IFERROR(INDEX('2024ds'!$D$2:$D$368, MATCH($B174, '2024ds'!$A$2:$A$368, 0)), "")</f>
        <v/>
      </c>
      <c r="L174" s="21" t="str">
        <f t="shared" si="18"/>
        <v/>
      </c>
      <c r="U174" s="3" t="str">
        <f t="shared" si="19"/>
        <v/>
      </c>
      <c r="V174" s="4" t="str">
        <f t="shared" si="20"/>
        <v/>
      </c>
      <c r="W174" s="4" t="str">
        <f t="shared" si="21"/>
        <v/>
      </c>
      <c r="X174" t="str">
        <f t="shared" si="16"/>
        <v/>
      </c>
    </row>
    <row r="175" spans="3:24">
      <c r="C175" s="12"/>
      <c r="D175" s="1"/>
      <c r="E175" s="1"/>
      <c r="F175" s="1"/>
      <c r="G175" s="11" t="str">
        <f t="shared" si="15"/>
        <v/>
      </c>
      <c r="H175" s="11" t="str">
        <f t="shared" si="17"/>
        <v/>
      </c>
      <c r="I175" s="15" t="str">
        <f>IFERROR(INDEX('2024ds'!$B$2:$B$368, MATCH($B175, '2024ds'!$A$2:$A$368, 0)), "")</f>
        <v/>
      </c>
      <c r="J175" s="1" t="str">
        <f>IFERROR(INDEX('2024ds'!$C$2:$C$368, MATCH($B175, '2024ds'!$A$2:$A$368, 0)), "")</f>
        <v/>
      </c>
      <c r="K175" s="22" t="str">
        <f>IFERROR(INDEX('2024ds'!$D$2:$D$368, MATCH($B175, '2024ds'!$A$2:$A$368, 0)), "")</f>
        <v/>
      </c>
      <c r="L175" s="21" t="str">
        <f t="shared" si="18"/>
        <v/>
      </c>
      <c r="U175" s="3" t="str">
        <f t="shared" si="19"/>
        <v/>
      </c>
      <c r="V175" s="4" t="str">
        <f t="shared" si="20"/>
        <v/>
      </c>
      <c r="W175" s="4" t="str">
        <f t="shared" si="21"/>
        <v/>
      </c>
      <c r="X175" t="str">
        <f t="shared" si="16"/>
        <v/>
      </c>
    </row>
    <row r="176" spans="3:24">
      <c r="C176" s="12"/>
      <c r="D176" s="1"/>
      <c r="E176" s="1"/>
      <c r="F176" s="1"/>
      <c r="G176" s="11" t="str">
        <f t="shared" si="15"/>
        <v/>
      </c>
      <c r="H176" s="11" t="str">
        <f t="shared" si="17"/>
        <v/>
      </c>
      <c r="I176" s="15" t="str">
        <f>IFERROR(INDEX('2024ds'!$B$2:$B$368, MATCH($B176, '2024ds'!$A$2:$A$368, 0)), "")</f>
        <v/>
      </c>
      <c r="J176" s="1" t="str">
        <f>IFERROR(INDEX('2024ds'!$C$2:$C$368, MATCH($B176, '2024ds'!$A$2:$A$368, 0)), "")</f>
        <v/>
      </c>
      <c r="K176" s="22" t="str">
        <f>IFERROR(INDEX('2024ds'!$D$2:$D$368, MATCH($B176, '2024ds'!$A$2:$A$368, 0)), "")</f>
        <v/>
      </c>
      <c r="L176" s="21" t="str">
        <f t="shared" si="18"/>
        <v/>
      </c>
      <c r="U176" s="3" t="str">
        <f t="shared" si="19"/>
        <v/>
      </c>
      <c r="V176" s="4" t="str">
        <f t="shared" si="20"/>
        <v/>
      </c>
      <c r="W176" s="4" t="str">
        <f t="shared" si="21"/>
        <v/>
      </c>
      <c r="X176" t="str">
        <f t="shared" si="16"/>
        <v/>
      </c>
    </row>
    <row r="177" spans="3:24">
      <c r="C177" s="12"/>
      <c r="D177" s="1"/>
      <c r="E177" s="1"/>
      <c r="F177" s="1"/>
      <c r="G177" s="11" t="str">
        <f t="shared" si="15"/>
        <v/>
      </c>
      <c r="H177" s="11" t="str">
        <f t="shared" si="17"/>
        <v/>
      </c>
      <c r="I177" s="15" t="str">
        <f>IFERROR(INDEX('2024ds'!$B$2:$B$368, MATCH($B177, '2024ds'!$A$2:$A$368, 0)), "")</f>
        <v/>
      </c>
      <c r="J177" s="1" t="str">
        <f>IFERROR(INDEX('2024ds'!$C$2:$C$368, MATCH($B177, '2024ds'!$A$2:$A$368, 0)), "")</f>
        <v/>
      </c>
      <c r="K177" s="22" t="str">
        <f>IFERROR(INDEX('2024ds'!$D$2:$D$368, MATCH($B177, '2024ds'!$A$2:$A$368, 0)), "")</f>
        <v/>
      </c>
      <c r="L177" s="21" t="str">
        <f t="shared" si="18"/>
        <v/>
      </c>
      <c r="U177" s="3" t="str">
        <f t="shared" si="19"/>
        <v/>
      </c>
      <c r="V177" s="4" t="str">
        <f t="shared" si="20"/>
        <v/>
      </c>
      <c r="W177" s="4" t="str">
        <f t="shared" si="21"/>
        <v/>
      </c>
      <c r="X177" t="str">
        <f t="shared" si="16"/>
        <v/>
      </c>
    </row>
    <row r="178" spans="3:24">
      <c r="C178" s="12"/>
      <c r="D178" s="1"/>
      <c r="E178" s="1"/>
      <c r="F178" s="1"/>
      <c r="G178" s="11" t="str">
        <f t="shared" si="15"/>
        <v/>
      </c>
      <c r="H178" s="11" t="str">
        <f t="shared" si="17"/>
        <v/>
      </c>
      <c r="I178" s="15" t="str">
        <f>IFERROR(INDEX('2024ds'!$B$2:$B$368, MATCH($B178, '2024ds'!$A$2:$A$368, 0)), "")</f>
        <v/>
      </c>
      <c r="J178" s="1" t="str">
        <f>IFERROR(INDEX('2024ds'!$C$2:$C$368, MATCH($B178, '2024ds'!$A$2:$A$368, 0)), "")</f>
        <v/>
      </c>
      <c r="K178" s="22" t="str">
        <f>IFERROR(INDEX('2024ds'!$D$2:$D$368, MATCH($B178, '2024ds'!$A$2:$A$368, 0)), "")</f>
        <v/>
      </c>
      <c r="L178" s="21" t="str">
        <f t="shared" si="18"/>
        <v/>
      </c>
      <c r="U178" s="3" t="str">
        <f t="shared" si="19"/>
        <v/>
      </c>
      <c r="V178" s="4" t="str">
        <f t="shared" si="20"/>
        <v/>
      </c>
      <c r="W178" s="4" t="str">
        <f t="shared" si="21"/>
        <v/>
      </c>
      <c r="X178" t="str">
        <f t="shared" si="16"/>
        <v/>
      </c>
    </row>
    <row r="179" spans="3:24">
      <c r="C179" s="12"/>
      <c r="D179" s="1"/>
      <c r="E179" s="1"/>
      <c r="F179" s="1"/>
      <c r="G179" s="11" t="str">
        <f t="shared" si="15"/>
        <v/>
      </c>
      <c r="H179" s="11" t="str">
        <f t="shared" si="17"/>
        <v/>
      </c>
      <c r="I179" s="15" t="str">
        <f>IFERROR(INDEX('2024ds'!$B$2:$B$368, MATCH($B179, '2024ds'!$A$2:$A$368, 0)), "")</f>
        <v/>
      </c>
      <c r="J179" s="1" t="str">
        <f>IFERROR(INDEX('2024ds'!$C$2:$C$368, MATCH($B179, '2024ds'!$A$2:$A$368, 0)), "")</f>
        <v/>
      </c>
      <c r="K179" s="22" t="str">
        <f>IFERROR(INDEX('2024ds'!$D$2:$D$368, MATCH($B179, '2024ds'!$A$2:$A$368, 0)), "")</f>
        <v/>
      </c>
      <c r="L179" s="21" t="str">
        <f t="shared" si="18"/>
        <v/>
      </c>
      <c r="U179" s="3" t="str">
        <f t="shared" si="19"/>
        <v/>
      </c>
      <c r="V179" s="4" t="str">
        <f t="shared" si="20"/>
        <v/>
      </c>
      <c r="W179" s="4" t="str">
        <f t="shared" si="21"/>
        <v/>
      </c>
      <c r="X179" t="str">
        <f t="shared" si="16"/>
        <v/>
      </c>
    </row>
    <row r="180" spans="3:24">
      <c r="C180" s="12"/>
      <c r="D180" s="1"/>
      <c r="E180" s="1"/>
      <c r="F180" s="1"/>
      <c r="G180" s="11" t="str">
        <f t="shared" si="15"/>
        <v/>
      </c>
      <c r="H180" s="11" t="str">
        <f t="shared" si="17"/>
        <v/>
      </c>
      <c r="I180" s="15" t="str">
        <f>IFERROR(INDEX('2024ds'!$B$2:$B$368, MATCH($B180, '2024ds'!$A$2:$A$368, 0)), "")</f>
        <v/>
      </c>
      <c r="J180" s="1" t="str">
        <f>IFERROR(INDEX('2024ds'!$C$2:$C$368, MATCH($B180, '2024ds'!$A$2:$A$368, 0)), "")</f>
        <v/>
      </c>
      <c r="K180" s="22" t="str">
        <f>IFERROR(INDEX('2024ds'!$D$2:$D$368, MATCH($B180, '2024ds'!$A$2:$A$368, 0)), "")</f>
        <v/>
      </c>
      <c r="L180" s="21" t="str">
        <f t="shared" si="18"/>
        <v/>
      </c>
      <c r="U180" s="3" t="str">
        <f t="shared" si="19"/>
        <v/>
      </c>
      <c r="V180" s="4" t="str">
        <f t="shared" si="20"/>
        <v/>
      </c>
      <c r="W180" s="4" t="str">
        <f t="shared" si="21"/>
        <v/>
      </c>
      <c r="X180" t="str">
        <f t="shared" si="16"/>
        <v/>
      </c>
    </row>
    <row r="181" spans="3:24">
      <c r="C181" s="12"/>
      <c r="D181" s="1"/>
      <c r="E181" s="1"/>
      <c r="F181" s="1"/>
      <c r="G181" s="11" t="str">
        <f t="shared" si="15"/>
        <v/>
      </c>
      <c r="H181" s="11" t="str">
        <f t="shared" si="17"/>
        <v/>
      </c>
      <c r="I181" s="15" t="str">
        <f>IFERROR(INDEX('2024ds'!$B$2:$B$368, MATCH($B181, '2024ds'!$A$2:$A$368, 0)), "")</f>
        <v/>
      </c>
      <c r="J181" s="1" t="str">
        <f>IFERROR(INDEX('2024ds'!$C$2:$C$368, MATCH($B181, '2024ds'!$A$2:$A$368, 0)), "")</f>
        <v/>
      </c>
      <c r="K181" s="22" t="str">
        <f>IFERROR(INDEX('2024ds'!$D$2:$D$368, MATCH($B181, '2024ds'!$A$2:$A$368, 0)), "")</f>
        <v/>
      </c>
      <c r="L181" s="21" t="str">
        <f t="shared" si="18"/>
        <v/>
      </c>
      <c r="U181" s="3" t="str">
        <f t="shared" si="19"/>
        <v/>
      </c>
      <c r="V181" s="4" t="str">
        <f t="shared" si="20"/>
        <v/>
      </c>
      <c r="W181" s="4" t="str">
        <f t="shared" si="21"/>
        <v/>
      </c>
      <c r="X181" t="str">
        <f t="shared" si="16"/>
        <v/>
      </c>
    </row>
    <row r="182" spans="3:24">
      <c r="C182" s="12"/>
      <c r="D182" s="1"/>
      <c r="E182" s="1"/>
      <c r="F182" s="1"/>
      <c r="G182" s="11" t="str">
        <f t="shared" si="15"/>
        <v/>
      </c>
      <c r="H182" s="11" t="str">
        <f t="shared" si="17"/>
        <v/>
      </c>
      <c r="I182" s="15" t="str">
        <f>IFERROR(INDEX('2024ds'!$B$2:$B$368, MATCH($B182, '2024ds'!$A$2:$A$368, 0)), "")</f>
        <v/>
      </c>
      <c r="J182" s="1" t="str">
        <f>IFERROR(INDEX('2024ds'!$C$2:$C$368, MATCH($B182, '2024ds'!$A$2:$A$368, 0)), "")</f>
        <v/>
      </c>
      <c r="K182" s="22" t="str">
        <f>IFERROR(INDEX('2024ds'!$D$2:$D$368, MATCH($B182, '2024ds'!$A$2:$A$368, 0)), "")</f>
        <v/>
      </c>
      <c r="L182" s="21" t="str">
        <f t="shared" si="18"/>
        <v/>
      </c>
      <c r="U182" s="3" t="str">
        <f t="shared" si="19"/>
        <v/>
      </c>
      <c r="V182" s="4" t="str">
        <f t="shared" si="20"/>
        <v/>
      </c>
      <c r="W182" s="4" t="str">
        <f t="shared" si="21"/>
        <v/>
      </c>
      <c r="X182" t="str">
        <f t="shared" si="16"/>
        <v/>
      </c>
    </row>
    <row r="183" spans="3:24">
      <c r="C183" s="12"/>
      <c r="D183" s="1"/>
      <c r="E183" s="1"/>
      <c r="F183" s="1"/>
      <c r="G183" s="11" t="str">
        <f t="shared" si="15"/>
        <v/>
      </c>
      <c r="H183" s="11" t="str">
        <f t="shared" si="17"/>
        <v/>
      </c>
      <c r="I183" s="15" t="str">
        <f>IFERROR(INDEX('2024ds'!$B$2:$B$368, MATCH($B183, '2024ds'!$A$2:$A$368, 0)), "")</f>
        <v/>
      </c>
      <c r="J183" s="1" t="str">
        <f>IFERROR(INDEX('2024ds'!$C$2:$C$368, MATCH($B183, '2024ds'!$A$2:$A$368, 0)), "")</f>
        <v/>
      </c>
      <c r="K183" s="22" t="str">
        <f>IFERROR(INDEX('2024ds'!$D$2:$D$368, MATCH($B183, '2024ds'!$A$2:$A$368, 0)), "")</f>
        <v/>
      </c>
      <c r="L183" s="21" t="str">
        <f t="shared" si="18"/>
        <v/>
      </c>
      <c r="U183" s="3" t="str">
        <f t="shared" si="19"/>
        <v/>
      </c>
      <c r="V183" s="4" t="str">
        <f t="shared" si="20"/>
        <v/>
      </c>
      <c r="W183" s="4" t="str">
        <f t="shared" si="21"/>
        <v/>
      </c>
      <c r="X183" t="str">
        <f t="shared" si="16"/>
        <v/>
      </c>
    </row>
    <row r="184" spans="3:24">
      <c r="C184" s="12"/>
      <c r="D184" s="1"/>
      <c r="E184" s="1"/>
      <c r="F184" s="1"/>
      <c r="G184" s="11" t="str">
        <f t="shared" si="15"/>
        <v/>
      </c>
      <c r="H184" s="11" t="str">
        <f t="shared" si="17"/>
        <v/>
      </c>
      <c r="I184" s="15" t="str">
        <f>IFERROR(INDEX('2024ds'!$B$2:$B$368, MATCH($B184, '2024ds'!$A$2:$A$368, 0)), "")</f>
        <v/>
      </c>
      <c r="J184" s="1" t="str">
        <f>IFERROR(INDEX('2024ds'!$C$2:$C$368, MATCH($B184, '2024ds'!$A$2:$A$368, 0)), "")</f>
        <v/>
      </c>
      <c r="K184" s="22" t="str">
        <f>IFERROR(INDEX('2024ds'!$D$2:$D$368, MATCH($B184, '2024ds'!$A$2:$A$368, 0)), "")</f>
        <v/>
      </c>
      <c r="L184" s="21" t="str">
        <f t="shared" si="18"/>
        <v/>
      </c>
      <c r="U184" s="3" t="str">
        <f t="shared" si="19"/>
        <v/>
      </c>
      <c r="V184" s="4" t="str">
        <f t="shared" si="20"/>
        <v/>
      </c>
      <c r="W184" s="4" t="str">
        <f t="shared" si="21"/>
        <v/>
      </c>
      <c r="X184" t="str">
        <f t="shared" si="16"/>
        <v/>
      </c>
    </row>
    <row r="185" spans="3:24">
      <c r="C185" s="12"/>
      <c r="D185" s="1"/>
      <c r="E185" s="1"/>
      <c r="F185" s="1"/>
      <c r="G185" s="11" t="str">
        <f t="shared" si="15"/>
        <v/>
      </c>
      <c r="H185" s="11" t="str">
        <f t="shared" si="17"/>
        <v/>
      </c>
      <c r="I185" s="15" t="str">
        <f>IFERROR(INDEX('2024ds'!$B$2:$B$368, MATCH($B185, '2024ds'!$A$2:$A$368, 0)), "")</f>
        <v/>
      </c>
      <c r="J185" s="1" t="str">
        <f>IFERROR(INDEX('2024ds'!$C$2:$C$368, MATCH($B185, '2024ds'!$A$2:$A$368, 0)), "")</f>
        <v/>
      </c>
      <c r="K185" s="22" t="str">
        <f>IFERROR(INDEX('2024ds'!$D$2:$D$368, MATCH($B185, '2024ds'!$A$2:$A$368, 0)), "")</f>
        <v/>
      </c>
      <c r="L185" s="21" t="str">
        <f t="shared" si="18"/>
        <v/>
      </c>
      <c r="U185" s="3" t="str">
        <f t="shared" si="19"/>
        <v/>
      </c>
      <c r="V185" s="4" t="str">
        <f t="shared" si="20"/>
        <v/>
      </c>
      <c r="W185" s="4" t="str">
        <f t="shared" si="21"/>
        <v/>
      </c>
      <c r="X185" t="str">
        <f t="shared" si="16"/>
        <v/>
      </c>
    </row>
    <row r="186" spans="3:24">
      <c r="C186" s="12"/>
      <c r="D186" s="1"/>
      <c r="E186" s="1"/>
      <c r="F186" s="1"/>
      <c r="G186" s="11" t="str">
        <f t="shared" si="15"/>
        <v/>
      </c>
      <c r="H186" s="11" t="str">
        <f t="shared" si="17"/>
        <v/>
      </c>
      <c r="I186" s="15" t="str">
        <f>IFERROR(INDEX('2024ds'!$B$2:$B$368, MATCH($B186, '2024ds'!$A$2:$A$368, 0)), "")</f>
        <v/>
      </c>
      <c r="J186" s="1" t="str">
        <f>IFERROR(INDEX('2024ds'!$C$2:$C$368, MATCH($B186, '2024ds'!$A$2:$A$368, 0)), "")</f>
        <v/>
      </c>
      <c r="K186" s="22" t="str">
        <f>IFERROR(INDEX('2024ds'!$D$2:$D$368, MATCH($B186, '2024ds'!$A$2:$A$368, 0)), "")</f>
        <v/>
      </c>
      <c r="L186" s="21" t="str">
        <f t="shared" si="18"/>
        <v/>
      </c>
      <c r="U186" s="3" t="str">
        <f t="shared" si="19"/>
        <v/>
      </c>
      <c r="V186" s="4" t="str">
        <f t="shared" si="20"/>
        <v/>
      </c>
      <c r="W186" s="4" t="str">
        <f t="shared" si="21"/>
        <v/>
      </c>
      <c r="X186" t="str">
        <f t="shared" si="16"/>
        <v/>
      </c>
    </row>
    <row r="187" spans="3:24">
      <c r="C187" s="12"/>
      <c r="D187" s="1"/>
      <c r="E187" s="1"/>
      <c r="F187" s="1"/>
      <c r="G187" s="11" t="str">
        <f t="shared" si="15"/>
        <v/>
      </c>
      <c r="H187" s="11" t="str">
        <f t="shared" si="17"/>
        <v/>
      </c>
      <c r="I187" s="15" t="str">
        <f>IFERROR(INDEX('2024ds'!$B$2:$B$368, MATCH($B187, '2024ds'!$A$2:$A$368, 0)), "")</f>
        <v/>
      </c>
      <c r="J187" s="1" t="str">
        <f>IFERROR(INDEX('2024ds'!$C$2:$C$368, MATCH($B187, '2024ds'!$A$2:$A$368, 0)), "")</f>
        <v/>
      </c>
      <c r="K187" s="22" t="str">
        <f>IFERROR(INDEX('2024ds'!$D$2:$D$368, MATCH($B187, '2024ds'!$A$2:$A$368, 0)), "")</f>
        <v/>
      </c>
      <c r="L187" s="21" t="str">
        <f t="shared" si="18"/>
        <v/>
      </c>
      <c r="U187" s="3" t="str">
        <f t="shared" si="19"/>
        <v/>
      </c>
      <c r="V187" s="4" t="str">
        <f t="shared" si="20"/>
        <v/>
      </c>
      <c r="W187" s="4" t="str">
        <f t="shared" si="21"/>
        <v/>
      </c>
      <c r="X187" t="str">
        <f t="shared" si="16"/>
        <v/>
      </c>
    </row>
    <row r="188" spans="3:24">
      <c r="C188" s="12"/>
      <c r="D188" s="1"/>
      <c r="E188" s="1"/>
      <c r="F188" s="1"/>
      <c r="G188" s="11" t="str">
        <f t="shared" si="15"/>
        <v/>
      </c>
      <c r="H188" s="11" t="str">
        <f t="shared" si="17"/>
        <v/>
      </c>
      <c r="I188" s="15" t="str">
        <f>IFERROR(INDEX('2024ds'!$B$2:$B$368, MATCH($B188, '2024ds'!$A$2:$A$368, 0)), "")</f>
        <v/>
      </c>
      <c r="J188" s="1" t="str">
        <f>IFERROR(INDEX('2024ds'!$C$2:$C$368, MATCH($B188, '2024ds'!$A$2:$A$368, 0)), "")</f>
        <v/>
      </c>
      <c r="K188" s="22" t="str">
        <f>IFERROR(INDEX('2024ds'!$D$2:$D$368, MATCH($B188, '2024ds'!$A$2:$A$368, 0)), "")</f>
        <v/>
      </c>
      <c r="L188" s="21" t="str">
        <f t="shared" si="18"/>
        <v/>
      </c>
      <c r="U188" s="3" t="str">
        <f t="shared" si="19"/>
        <v/>
      </c>
      <c r="V188" s="4" t="str">
        <f t="shared" si="20"/>
        <v/>
      </c>
      <c r="W188" s="4" t="str">
        <f t="shared" si="21"/>
        <v/>
      </c>
      <c r="X188" t="str">
        <f t="shared" si="16"/>
        <v/>
      </c>
    </row>
    <row r="189" spans="3:24">
      <c r="C189" s="12"/>
      <c r="D189" s="1"/>
      <c r="E189" s="1"/>
      <c r="F189" s="1"/>
      <c r="G189" s="11" t="str">
        <f t="shared" si="15"/>
        <v/>
      </c>
      <c r="H189" s="11" t="str">
        <f t="shared" si="17"/>
        <v/>
      </c>
      <c r="I189" s="15" t="str">
        <f>IFERROR(INDEX('2024ds'!$B$2:$B$368, MATCH($B189, '2024ds'!$A$2:$A$368, 0)), "")</f>
        <v/>
      </c>
      <c r="J189" s="1" t="str">
        <f>IFERROR(INDEX('2024ds'!$C$2:$C$368, MATCH($B189, '2024ds'!$A$2:$A$368, 0)), "")</f>
        <v/>
      </c>
      <c r="K189" s="22" t="str">
        <f>IFERROR(INDEX('2024ds'!$D$2:$D$368, MATCH($B189, '2024ds'!$A$2:$A$368, 0)), "")</f>
        <v/>
      </c>
      <c r="L189" s="21" t="str">
        <f t="shared" si="18"/>
        <v/>
      </c>
      <c r="U189" s="3" t="str">
        <f t="shared" si="19"/>
        <v/>
      </c>
      <c r="V189" s="4" t="str">
        <f t="shared" si="20"/>
        <v/>
      </c>
      <c r="W189" s="4" t="str">
        <f t="shared" si="21"/>
        <v/>
      </c>
      <c r="X189" t="str">
        <f t="shared" si="16"/>
        <v/>
      </c>
    </row>
    <row r="190" spans="3:24">
      <c r="C190" s="12"/>
      <c r="D190" s="1"/>
      <c r="E190" s="1"/>
      <c r="F190" s="1"/>
      <c r="G190" s="11" t="str">
        <f t="shared" si="15"/>
        <v/>
      </c>
      <c r="H190" s="11" t="str">
        <f t="shared" si="17"/>
        <v/>
      </c>
      <c r="I190" s="15" t="str">
        <f>IFERROR(INDEX('2024ds'!$B$2:$B$368, MATCH($B190, '2024ds'!$A$2:$A$368, 0)), "")</f>
        <v/>
      </c>
      <c r="J190" s="1" t="str">
        <f>IFERROR(INDEX('2024ds'!$C$2:$C$368, MATCH($B190, '2024ds'!$A$2:$A$368, 0)), "")</f>
        <v/>
      </c>
      <c r="K190" s="22" t="str">
        <f>IFERROR(INDEX('2024ds'!$D$2:$D$368, MATCH($B190, '2024ds'!$A$2:$A$368, 0)), "")</f>
        <v/>
      </c>
      <c r="L190" s="21" t="str">
        <f t="shared" si="18"/>
        <v/>
      </c>
      <c r="U190" s="3" t="str">
        <f t="shared" si="19"/>
        <v/>
      </c>
      <c r="V190" s="4" t="str">
        <f t="shared" si="20"/>
        <v/>
      </c>
      <c r="W190" s="4" t="str">
        <f t="shared" si="21"/>
        <v/>
      </c>
      <c r="X190" t="str">
        <f t="shared" si="16"/>
        <v/>
      </c>
    </row>
    <row r="191" spans="3:24">
      <c r="C191" s="12"/>
      <c r="D191" s="1"/>
      <c r="E191" s="1"/>
      <c r="F191" s="1"/>
      <c r="G191" s="11" t="str">
        <f t="shared" si="15"/>
        <v/>
      </c>
      <c r="H191" s="11" t="str">
        <f t="shared" si="17"/>
        <v/>
      </c>
      <c r="I191" s="15" t="str">
        <f>IFERROR(INDEX('2024ds'!$B$2:$B$368, MATCH($B191, '2024ds'!$A$2:$A$368, 0)), "")</f>
        <v/>
      </c>
      <c r="J191" s="1" t="str">
        <f>IFERROR(INDEX('2024ds'!$C$2:$C$368, MATCH($B191, '2024ds'!$A$2:$A$368, 0)), "")</f>
        <v/>
      </c>
      <c r="K191" s="22" t="str">
        <f>IFERROR(INDEX('2024ds'!$D$2:$D$368, MATCH($B191, '2024ds'!$A$2:$A$368, 0)), "")</f>
        <v/>
      </c>
      <c r="L191" s="21" t="str">
        <f t="shared" si="18"/>
        <v/>
      </c>
      <c r="U191" s="3" t="str">
        <f t="shared" si="19"/>
        <v/>
      </c>
      <c r="V191" s="4" t="str">
        <f t="shared" si="20"/>
        <v/>
      </c>
      <c r="W191" s="4" t="str">
        <f t="shared" si="21"/>
        <v/>
      </c>
      <c r="X191" t="str">
        <f t="shared" si="16"/>
        <v/>
      </c>
    </row>
    <row r="192" spans="3:24">
      <c r="C192" s="12"/>
      <c r="D192" s="1"/>
      <c r="E192" s="1"/>
      <c r="F192" s="1"/>
      <c r="G192" s="11" t="str">
        <f t="shared" si="15"/>
        <v/>
      </c>
      <c r="H192" s="11" t="str">
        <f t="shared" si="17"/>
        <v/>
      </c>
      <c r="I192" s="15" t="str">
        <f>IFERROR(INDEX('2024ds'!$B$2:$B$368, MATCH($B192, '2024ds'!$A$2:$A$368, 0)), "")</f>
        <v/>
      </c>
      <c r="J192" s="1" t="str">
        <f>IFERROR(INDEX('2024ds'!$C$2:$C$368, MATCH($B192, '2024ds'!$A$2:$A$368, 0)), "")</f>
        <v/>
      </c>
      <c r="K192" s="22" t="str">
        <f>IFERROR(INDEX('2024ds'!$D$2:$D$368, MATCH($B192, '2024ds'!$A$2:$A$368, 0)), "")</f>
        <v/>
      </c>
      <c r="L192" s="21" t="str">
        <f t="shared" si="18"/>
        <v/>
      </c>
      <c r="U192" s="3" t="str">
        <f t="shared" si="19"/>
        <v/>
      </c>
      <c r="V192" s="4" t="str">
        <f t="shared" si="20"/>
        <v/>
      </c>
      <c r="W192" s="4" t="str">
        <f t="shared" si="21"/>
        <v/>
      </c>
      <c r="X192" t="str">
        <f t="shared" si="16"/>
        <v/>
      </c>
    </row>
    <row r="193" spans="3:24">
      <c r="C193" s="12"/>
      <c r="D193" s="1"/>
      <c r="E193" s="1"/>
      <c r="F193" s="1"/>
      <c r="G193" s="11" t="str">
        <f t="shared" si="15"/>
        <v/>
      </c>
      <c r="H193" s="11" t="str">
        <f t="shared" si="17"/>
        <v/>
      </c>
      <c r="I193" s="15" t="str">
        <f>IFERROR(INDEX('2024ds'!$B$2:$B$368, MATCH($B193, '2024ds'!$A$2:$A$368, 0)), "")</f>
        <v/>
      </c>
      <c r="J193" s="1" t="str">
        <f>IFERROR(INDEX('2024ds'!$C$2:$C$368, MATCH($B193, '2024ds'!$A$2:$A$368, 0)), "")</f>
        <v/>
      </c>
      <c r="K193" s="22" t="str">
        <f>IFERROR(INDEX('2024ds'!$D$2:$D$368, MATCH($B193, '2024ds'!$A$2:$A$368, 0)), "")</f>
        <v/>
      </c>
      <c r="L193" s="21" t="str">
        <f t="shared" si="18"/>
        <v/>
      </c>
      <c r="U193" s="3" t="str">
        <f t="shared" si="19"/>
        <v/>
      </c>
      <c r="V193" s="4" t="str">
        <f t="shared" si="20"/>
        <v/>
      </c>
      <c r="W193" s="4" t="str">
        <f t="shared" si="21"/>
        <v/>
      </c>
      <c r="X193" t="str">
        <f t="shared" si="16"/>
        <v/>
      </c>
    </row>
    <row r="194" spans="3:24">
      <c r="C194" s="12"/>
      <c r="D194" s="1"/>
      <c r="E194" s="1"/>
      <c r="F194" s="1"/>
      <c r="G194" s="11" t="str">
        <f t="shared" ref="G194:G257" si="22">IF(X194="", "", TIMEVALUE("0:" &amp; X194))</f>
        <v/>
      </c>
      <c r="H194" s="11" t="str">
        <f t="shared" si="17"/>
        <v/>
      </c>
      <c r="I194" s="15" t="str">
        <f>IFERROR(INDEX('2024ds'!$B$2:$B$368, MATCH($B194, '2024ds'!$A$2:$A$368, 0)), "")</f>
        <v/>
      </c>
      <c r="J194" s="1" t="str">
        <f>IFERROR(INDEX('2024ds'!$C$2:$C$368, MATCH($B194, '2024ds'!$A$2:$A$368, 0)), "")</f>
        <v/>
      </c>
      <c r="K194" s="22" t="str">
        <f>IFERROR(INDEX('2024ds'!$D$2:$D$368, MATCH($B194, '2024ds'!$A$2:$A$368, 0)), "")</f>
        <v/>
      </c>
      <c r="L194" s="21" t="str">
        <f t="shared" si="18"/>
        <v/>
      </c>
      <c r="U194" s="3" t="str">
        <f t="shared" si="19"/>
        <v/>
      </c>
      <c r="V194" s="4" t="str">
        <f t="shared" si="20"/>
        <v/>
      </c>
      <c r="W194" s="4" t="str">
        <f t="shared" si="21"/>
        <v/>
      </c>
      <c r="X194" t="str">
        <f t="shared" ref="X194:X257" si="23">IF(V194="", "", IF(MOD(W194,1)*60&gt;=59.5, TEXT(INT(W194)+1, "0") &amp; ":00", TEXT(INT(W194), "0") &amp; ":" &amp; TEXT(ROUND(MOD(W194,1)*60, 0), "00")))</f>
        <v/>
      </c>
    </row>
    <row r="195" spans="3:24">
      <c r="C195" s="12"/>
      <c r="D195" s="1"/>
      <c r="E195" s="1"/>
      <c r="F195" s="1"/>
      <c r="G195" s="11" t="str">
        <f t="shared" si="22"/>
        <v/>
      </c>
      <c r="H195" s="11" t="str">
        <f t="shared" ref="H195:H258" si="24">IF(X195="", "", TIMEVALUE("0:" &amp; X195))</f>
        <v/>
      </c>
      <c r="I195" s="15" t="str">
        <f>IFERROR(INDEX('2024ds'!$B$2:$B$368, MATCH($B195, '2024ds'!$A$2:$A$368, 0)), "")</f>
        <v/>
      </c>
      <c r="J195" s="1" t="str">
        <f>IFERROR(INDEX('2024ds'!$C$2:$C$368, MATCH($B195, '2024ds'!$A$2:$A$368, 0)), "")</f>
        <v/>
      </c>
      <c r="K195" s="22" t="str">
        <f>IFERROR(INDEX('2024ds'!$D$2:$D$368, MATCH($B195, '2024ds'!$A$2:$A$368, 0)), "")</f>
        <v/>
      </c>
      <c r="L195" s="21" t="str">
        <f t="shared" ref="L195:L258" si="25">HYPERLINK("#'2024ds'!E" &amp; ROW(B195), "")</f>
        <v/>
      </c>
      <c r="U195" s="3" t="str">
        <f t="shared" ref="U195:U258" si="26">IF(C195="","",TIMEVALUE(C195))</f>
        <v/>
      </c>
      <c r="V195" s="4" t="str">
        <f t="shared" ref="V195:V258" si="27">IF(C195="","",HOUR(C195)*60 + MINUTE(C195) + SECOND(C195)/60)</f>
        <v/>
      </c>
      <c r="W195" s="4" t="str">
        <f t="shared" ref="W195:W258" si="28">IF(V195="","",V195/D195)</f>
        <v/>
      </c>
      <c r="X195" t="str">
        <f t="shared" si="23"/>
        <v/>
      </c>
    </row>
    <row r="196" spans="3:24">
      <c r="C196" s="12"/>
      <c r="D196" s="1"/>
      <c r="E196" s="1"/>
      <c r="F196" s="1"/>
      <c r="G196" s="11" t="str">
        <f t="shared" si="22"/>
        <v/>
      </c>
      <c r="H196" s="11" t="str">
        <f t="shared" si="24"/>
        <v/>
      </c>
      <c r="I196" s="15" t="str">
        <f>IFERROR(INDEX('2024ds'!$B$2:$B$368, MATCH($B196, '2024ds'!$A$2:$A$368, 0)), "")</f>
        <v/>
      </c>
      <c r="J196" s="1" t="str">
        <f>IFERROR(INDEX('2024ds'!$C$2:$C$368, MATCH($B196, '2024ds'!$A$2:$A$368, 0)), "")</f>
        <v/>
      </c>
      <c r="K196" s="22" t="str">
        <f>IFERROR(INDEX('2024ds'!$D$2:$D$368, MATCH($B196, '2024ds'!$A$2:$A$368, 0)), "")</f>
        <v/>
      </c>
      <c r="L196" s="21" t="str">
        <f t="shared" si="25"/>
        <v/>
      </c>
      <c r="U196" s="3" t="str">
        <f t="shared" si="26"/>
        <v/>
      </c>
      <c r="V196" s="4" t="str">
        <f t="shared" si="27"/>
        <v/>
      </c>
      <c r="W196" s="4" t="str">
        <f t="shared" si="28"/>
        <v/>
      </c>
      <c r="X196" t="str">
        <f t="shared" si="23"/>
        <v/>
      </c>
    </row>
    <row r="197" spans="3:24">
      <c r="C197" s="12"/>
      <c r="D197" s="1"/>
      <c r="E197" s="1"/>
      <c r="F197" s="1"/>
      <c r="G197" s="11" t="str">
        <f t="shared" si="22"/>
        <v/>
      </c>
      <c r="H197" s="11" t="str">
        <f t="shared" si="24"/>
        <v/>
      </c>
      <c r="I197" s="15" t="str">
        <f>IFERROR(INDEX('2024ds'!$B$2:$B$368, MATCH($B197, '2024ds'!$A$2:$A$368, 0)), "")</f>
        <v/>
      </c>
      <c r="J197" s="1" t="str">
        <f>IFERROR(INDEX('2024ds'!$C$2:$C$368, MATCH($B197, '2024ds'!$A$2:$A$368, 0)), "")</f>
        <v/>
      </c>
      <c r="K197" s="22" t="str">
        <f>IFERROR(INDEX('2024ds'!$D$2:$D$368, MATCH($B197, '2024ds'!$A$2:$A$368, 0)), "")</f>
        <v/>
      </c>
      <c r="L197" s="21" t="str">
        <f t="shared" si="25"/>
        <v/>
      </c>
      <c r="U197" s="3" t="str">
        <f t="shared" si="26"/>
        <v/>
      </c>
      <c r="V197" s="4" t="str">
        <f t="shared" si="27"/>
        <v/>
      </c>
      <c r="W197" s="4" t="str">
        <f t="shared" si="28"/>
        <v/>
      </c>
      <c r="X197" t="str">
        <f t="shared" si="23"/>
        <v/>
      </c>
    </row>
    <row r="198" spans="3:24">
      <c r="C198" s="12"/>
      <c r="D198" s="1"/>
      <c r="E198" s="1"/>
      <c r="F198" s="1"/>
      <c r="G198" s="11" t="str">
        <f t="shared" si="22"/>
        <v/>
      </c>
      <c r="H198" s="11" t="str">
        <f t="shared" si="24"/>
        <v/>
      </c>
      <c r="I198" s="15" t="str">
        <f>IFERROR(INDEX('2024ds'!$B$2:$B$368, MATCH($B198, '2024ds'!$A$2:$A$368, 0)), "")</f>
        <v/>
      </c>
      <c r="J198" s="1" t="str">
        <f>IFERROR(INDEX('2024ds'!$C$2:$C$368, MATCH($B198, '2024ds'!$A$2:$A$368, 0)), "")</f>
        <v/>
      </c>
      <c r="K198" s="22" t="str">
        <f>IFERROR(INDEX('2024ds'!$D$2:$D$368, MATCH($B198, '2024ds'!$A$2:$A$368, 0)), "")</f>
        <v/>
      </c>
      <c r="L198" s="21" t="str">
        <f t="shared" si="25"/>
        <v/>
      </c>
      <c r="U198" s="3" t="str">
        <f t="shared" si="26"/>
        <v/>
      </c>
      <c r="V198" s="4" t="str">
        <f t="shared" si="27"/>
        <v/>
      </c>
      <c r="W198" s="4" t="str">
        <f t="shared" si="28"/>
        <v/>
      </c>
      <c r="X198" t="str">
        <f t="shared" si="23"/>
        <v/>
      </c>
    </row>
    <row r="199" spans="3:24">
      <c r="C199" s="12"/>
      <c r="D199" s="1"/>
      <c r="E199" s="1"/>
      <c r="F199" s="1"/>
      <c r="G199" s="11" t="str">
        <f t="shared" si="22"/>
        <v/>
      </c>
      <c r="H199" s="11" t="str">
        <f t="shared" si="24"/>
        <v/>
      </c>
      <c r="I199" s="15" t="str">
        <f>IFERROR(INDEX('2024ds'!$B$2:$B$368, MATCH($B199, '2024ds'!$A$2:$A$368, 0)), "")</f>
        <v/>
      </c>
      <c r="J199" s="1" t="str">
        <f>IFERROR(INDEX('2024ds'!$C$2:$C$368, MATCH($B199, '2024ds'!$A$2:$A$368, 0)), "")</f>
        <v/>
      </c>
      <c r="K199" s="22" t="str">
        <f>IFERROR(INDEX('2024ds'!$D$2:$D$368, MATCH($B199, '2024ds'!$A$2:$A$368, 0)), "")</f>
        <v/>
      </c>
      <c r="L199" s="21" t="str">
        <f t="shared" si="25"/>
        <v/>
      </c>
      <c r="U199" s="3" t="str">
        <f t="shared" si="26"/>
        <v/>
      </c>
      <c r="V199" s="4" t="str">
        <f t="shared" si="27"/>
        <v/>
      </c>
      <c r="W199" s="4" t="str">
        <f t="shared" si="28"/>
        <v/>
      </c>
      <c r="X199" t="str">
        <f t="shared" si="23"/>
        <v/>
      </c>
    </row>
    <row r="200" spans="3:24">
      <c r="C200" s="12"/>
      <c r="D200" s="1"/>
      <c r="E200" s="1"/>
      <c r="F200" s="1"/>
      <c r="G200" s="11" t="str">
        <f t="shared" si="22"/>
        <v/>
      </c>
      <c r="H200" s="11" t="str">
        <f t="shared" si="24"/>
        <v/>
      </c>
      <c r="I200" s="15" t="str">
        <f>IFERROR(INDEX('2024ds'!$B$2:$B$368, MATCH($B200, '2024ds'!$A$2:$A$368, 0)), "")</f>
        <v/>
      </c>
      <c r="J200" s="1" t="str">
        <f>IFERROR(INDEX('2024ds'!$C$2:$C$368, MATCH($B200, '2024ds'!$A$2:$A$368, 0)), "")</f>
        <v/>
      </c>
      <c r="K200" s="22" t="str">
        <f>IFERROR(INDEX('2024ds'!$D$2:$D$368, MATCH($B200, '2024ds'!$A$2:$A$368, 0)), "")</f>
        <v/>
      </c>
      <c r="L200" s="21" t="str">
        <f t="shared" si="25"/>
        <v/>
      </c>
      <c r="U200" s="3" t="str">
        <f t="shared" si="26"/>
        <v/>
      </c>
      <c r="V200" s="4" t="str">
        <f t="shared" si="27"/>
        <v/>
      </c>
      <c r="W200" s="4" t="str">
        <f t="shared" si="28"/>
        <v/>
      </c>
      <c r="X200" t="str">
        <f t="shared" si="23"/>
        <v/>
      </c>
    </row>
    <row r="201" spans="3:24">
      <c r="C201" s="12"/>
      <c r="D201" s="1"/>
      <c r="E201" s="1"/>
      <c r="F201" s="1"/>
      <c r="G201" s="11" t="str">
        <f t="shared" si="22"/>
        <v/>
      </c>
      <c r="H201" s="11" t="str">
        <f t="shared" si="24"/>
        <v/>
      </c>
      <c r="I201" s="15" t="str">
        <f>IFERROR(INDEX('2024ds'!$B$2:$B$368, MATCH($B201, '2024ds'!$A$2:$A$368, 0)), "")</f>
        <v/>
      </c>
      <c r="J201" s="1" t="str">
        <f>IFERROR(INDEX('2024ds'!$C$2:$C$368, MATCH($B201, '2024ds'!$A$2:$A$368, 0)), "")</f>
        <v/>
      </c>
      <c r="K201" s="22" t="str">
        <f>IFERROR(INDEX('2024ds'!$D$2:$D$368, MATCH($B201, '2024ds'!$A$2:$A$368, 0)), "")</f>
        <v/>
      </c>
      <c r="L201" s="21" t="str">
        <f t="shared" si="25"/>
        <v/>
      </c>
      <c r="U201" s="3" t="str">
        <f t="shared" si="26"/>
        <v/>
      </c>
      <c r="V201" s="4" t="str">
        <f t="shared" si="27"/>
        <v/>
      </c>
      <c r="W201" s="4" t="str">
        <f t="shared" si="28"/>
        <v/>
      </c>
      <c r="X201" t="str">
        <f t="shared" si="23"/>
        <v/>
      </c>
    </row>
    <row r="202" spans="3:24">
      <c r="C202" s="12"/>
      <c r="D202" s="1"/>
      <c r="E202" s="1"/>
      <c r="F202" s="1"/>
      <c r="G202" s="11" t="str">
        <f t="shared" si="22"/>
        <v/>
      </c>
      <c r="H202" s="11" t="str">
        <f t="shared" si="24"/>
        <v/>
      </c>
      <c r="I202" s="15" t="str">
        <f>IFERROR(INDEX('2024ds'!$B$2:$B$368, MATCH($B202, '2024ds'!$A$2:$A$368, 0)), "")</f>
        <v/>
      </c>
      <c r="J202" s="1" t="str">
        <f>IFERROR(INDEX('2024ds'!$C$2:$C$368, MATCH($B202, '2024ds'!$A$2:$A$368, 0)), "")</f>
        <v/>
      </c>
      <c r="K202" s="22" t="str">
        <f>IFERROR(INDEX('2024ds'!$D$2:$D$368, MATCH($B202, '2024ds'!$A$2:$A$368, 0)), "")</f>
        <v/>
      </c>
      <c r="L202" s="21" t="str">
        <f t="shared" si="25"/>
        <v/>
      </c>
      <c r="U202" s="3" t="str">
        <f t="shared" si="26"/>
        <v/>
      </c>
      <c r="V202" s="4" t="str">
        <f t="shared" si="27"/>
        <v/>
      </c>
      <c r="W202" s="4" t="str">
        <f t="shared" si="28"/>
        <v/>
      </c>
      <c r="X202" t="str">
        <f t="shared" si="23"/>
        <v/>
      </c>
    </row>
    <row r="203" spans="3:24">
      <c r="C203" s="12"/>
      <c r="D203" s="1"/>
      <c r="E203" s="1"/>
      <c r="F203" s="1"/>
      <c r="G203" s="11" t="str">
        <f t="shared" si="22"/>
        <v/>
      </c>
      <c r="H203" s="11" t="str">
        <f t="shared" si="24"/>
        <v/>
      </c>
      <c r="I203" s="15" t="str">
        <f>IFERROR(INDEX('2024ds'!$B$2:$B$368, MATCH($B203, '2024ds'!$A$2:$A$368, 0)), "")</f>
        <v/>
      </c>
      <c r="J203" s="1" t="str">
        <f>IFERROR(INDEX('2024ds'!$C$2:$C$368, MATCH($B203, '2024ds'!$A$2:$A$368, 0)), "")</f>
        <v/>
      </c>
      <c r="K203" s="22" t="str">
        <f>IFERROR(INDEX('2024ds'!$D$2:$D$368, MATCH($B203, '2024ds'!$A$2:$A$368, 0)), "")</f>
        <v/>
      </c>
      <c r="L203" s="21" t="str">
        <f t="shared" si="25"/>
        <v/>
      </c>
      <c r="U203" s="3" t="str">
        <f t="shared" si="26"/>
        <v/>
      </c>
      <c r="V203" s="4" t="str">
        <f t="shared" si="27"/>
        <v/>
      </c>
      <c r="W203" s="4" t="str">
        <f t="shared" si="28"/>
        <v/>
      </c>
      <c r="X203" t="str">
        <f t="shared" si="23"/>
        <v/>
      </c>
    </row>
    <row r="204" spans="3:24">
      <c r="C204" s="12"/>
      <c r="D204" s="1"/>
      <c r="E204" s="1"/>
      <c r="F204" s="1"/>
      <c r="G204" s="11" t="str">
        <f t="shared" si="22"/>
        <v/>
      </c>
      <c r="H204" s="11" t="str">
        <f t="shared" si="24"/>
        <v/>
      </c>
      <c r="I204" s="15" t="str">
        <f>IFERROR(INDEX('2024ds'!$B$2:$B$368, MATCH($B204, '2024ds'!$A$2:$A$368, 0)), "")</f>
        <v/>
      </c>
      <c r="J204" s="1" t="str">
        <f>IFERROR(INDEX('2024ds'!$C$2:$C$368, MATCH($B204, '2024ds'!$A$2:$A$368, 0)), "")</f>
        <v/>
      </c>
      <c r="K204" s="22" t="str">
        <f>IFERROR(INDEX('2024ds'!$D$2:$D$368, MATCH($B204, '2024ds'!$A$2:$A$368, 0)), "")</f>
        <v/>
      </c>
      <c r="L204" s="21" t="str">
        <f t="shared" si="25"/>
        <v/>
      </c>
      <c r="U204" s="3" t="str">
        <f t="shared" si="26"/>
        <v/>
      </c>
      <c r="V204" s="4" t="str">
        <f t="shared" si="27"/>
        <v/>
      </c>
      <c r="W204" s="4" t="str">
        <f t="shared" si="28"/>
        <v/>
      </c>
      <c r="X204" t="str">
        <f t="shared" si="23"/>
        <v/>
      </c>
    </row>
    <row r="205" spans="3:24">
      <c r="C205" s="12"/>
      <c r="D205" s="1"/>
      <c r="E205" s="1"/>
      <c r="F205" s="1"/>
      <c r="G205" s="11" t="str">
        <f t="shared" si="22"/>
        <v/>
      </c>
      <c r="H205" s="11" t="str">
        <f t="shared" si="24"/>
        <v/>
      </c>
      <c r="I205" s="15" t="str">
        <f>IFERROR(INDEX('2024ds'!$B$2:$B$368, MATCH($B205, '2024ds'!$A$2:$A$368, 0)), "")</f>
        <v/>
      </c>
      <c r="J205" s="1" t="str">
        <f>IFERROR(INDEX('2024ds'!$C$2:$C$368, MATCH($B205, '2024ds'!$A$2:$A$368, 0)), "")</f>
        <v/>
      </c>
      <c r="K205" s="22" t="str">
        <f>IFERROR(INDEX('2024ds'!$D$2:$D$368, MATCH($B205, '2024ds'!$A$2:$A$368, 0)), "")</f>
        <v/>
      </c>
      <c r="L205" s="21" t="str">
        <f t="shared" si="25"/>
        <v/>
      </c>
      <c r="U205" s="3" t="str">
        <f t="shared" si="26"/>
        <v/>
      </c>
      <c r="V205" s="4" t="str">
        <f t="shared" si="27"/>
        <v/>
      </c>
      <c r="W205" s="4" t="str">
        <f t="shared" si="28"/>
        <v/>
      </c>
      <c r="X205" t="str">
        <f t="shared" si="23"/>
        <v/>
      </c>
    </row>
    <row r="206" spans="3:24">
      <c r="C206" s="12"/>
      <c r="D206" s="1"/>
      <c r="E206" s="1"/>
      <c r="F206" s="1"/>
      <c r="G206" s="11" t="str">
        <f t="shared" si="22"/>
        <v/>
      </c>
      <c r="H206" s="11" t="str">
        <f t="shared" si="24"/>
        <v/>
      </c>
      <c r="I206" s="15" t="str">
        <f>IFERROR(INDEX('2024ds'!$B$2:$B$368, MATCH($B206, '2024ds'!$A$2:$A$368, 0)), "")</f>
        <v/>
      </c>
      <c r="J206" s="1" t="str">
        <f>IFERROR(INDEX('2024ds'!$C$2:$C$368, MATCH($B206, '2024ds'!$A$2:$A$368, 0)), "")</f>
        <v/>
      </c>
      <c r="K206" s="22" t="str">
        <f>IFERROR(INDEX('2024ds'!$D$2:$D$368, MATCH($B206, '2024ds'!$A$2:$A$368, 0)), "")</f>
        <v/>
      </c>
      <c r="L206" s="21" t="str">
        <f t="shared" si="25"/>
        <v/>
      </c>
      <c r="U206" s="3" t="str">
        <f t="shared" si="26"/>
        <v/>
      </c>
      <c r="V206" s="4" t="str">
        <f t="shared" si="27"/>
        <v/>
      </c>
      <c r="W206" s="4" t="str">
        <f t="shared" si="28"/>
        <v/>
      </c>
      <c r="X206" t="str">
        <f t="shared" si="23"/>
        <v/>
      </c>
    </row>
    <row r="207" spans="3:24">
      <c r="C207" s="12"/>
      <c r="D207" s="1"/>
      <c r="E207" s="1"/>
      <c r="F207" s="1"/>
      <c r="G207" s="11" t="str">
        <f t="shared" si="22"/>
        <v/>
      </c>
      <c r="H207" s="11" t="str">
        <f t="shared" si="24"/>
        <v/>
      </c>
      <c r="I207" s="15" t="str">
        <f>IFERROR(INDEX('2024ds'!$B$2:$B$368, MATCH($B207, '2024ds'!$A$2:$A$368, 0)), "")</f>
        <v/>
      </c>
      <c r="J207" s="1" t="str">
        <f>IFERROR(INDEX('2024ds'!$C$2:$C$368, MATCH($B207, '2024ds'!$A$2:$A$368, 0)), "")</f>
        <v/>
      </c>
      <c r="K207" s="22" t="str">
        <f>IFERROR(INDEX('2024ds'!$D$2:$D$368, MATCH($B207, '2024ds'!$A$2:$A$368, 0)), "")</f>
        <v/>
      </c>
      <c r="L207" s="21" t="str">
        <f t="shared" si="25"/>
        <v/>
      </c>
      <c r="U207" s="3" t="str">
        <f t="shared" si="26"/>
        <v/>
      </c>
      <c r="V207" s="4" t="str">
        <f t="shared" si="27"/>
        <v/>
      </c>
      <c r="W207" s="4" t="str">
        <f t="shared" si="28"/>
        <v/>
      </c>
      <c r="X207" t="str">
        <f t="shared" si="23"/>
        <v/>
      </c>
    </row>
    <row r="208" spans="3:24">
      <c r="C208" s="12"/>
      <c r="D208" s="1"/>
      <c r="E208" s="1"/>
      <c r="F208" s="1"/>
      <c r="G208" s="11" t="str">
        <f t="shared" si="22"/>
        <v/>
      </c>
      <c r="H208" s="11" t="str">
        <f t="shared" si="24"/>
        <v/>
      </c>
      <c r="I208" s="15" t="str">
        <f>IFERROR(INDEX('2024ds'!$B$2:$B$368, MATCH($B208, '2024ds'!$A$2:$A$368, 0)), "")</f>
        <v/>
      </c>
      <c r="J208" s="1" t="str">
        <f>IFERROR(INDEX('2024ds'!$C$2:$C$368, MATCH($B208, '2024ds'!$A$2:$A$368, 0)), "")</f>
        <v/>
      </c>
      <c r="K208" s="22" t="str">
        <f>IFERROR(INDEX('2024ds'!$D$2:$D$368, MATCH($B208, '2024ds'!$A$2:$A$368, 0)), "")</f>
        <v/>
      </c>
      <c r="L208" s="21" t="str">
        <f t="shared" si="25"/>
        <v/>
      </c>
      <c r="U208" s="3" t="str">
        <f t="shared" si="26"/>
        <v/>
      </c>
      <c r="V208" s="4" t="str">
        <f t="shared" si="27"/>
        <v/>
      </c>
      <c r="W208" s="4" t="str">
        <f t="shared" si="28"/>
        <v/>
      </c>
      <c r="X208" t="str">
        <f t="shared" si="23"/>
        <v/>
      </c>
    </row>
    <row r="209" spans="3:24">
      <c r="C209" s="12"/>
      <c r="D209" s="1"/>
      <c r="E209" s="1"/>
      <c r="F209" s="1"/>
      <c r="G209" s="11" t="str">
        <f t="shared" si="22"/>
        <v/>
      </c>
      <c r="H209" s="11" t="str">
        <f t="shared" si="24"/>
        <v/>
      </c>
      <c r="I209" s="15" t="str">
        <f>IFERROR(INDEX('2024ds'!$B$2:$B$368, MATCH($B209, '2024ds'!$A$2:$A$368, 0)), "")</f>
        <v/>
      </c>
      <c r="J209" s="1" t="str">
        <f>IFERROR(INDEX('2024ds'!$C$2:$C$368, MATCH($B209, '2024ds'!$A$2:$A$368, 0)), "")</f>
        <v/>
      </c>
      <c r="K209" s="22" t="str">
        <f>IFERROR(INDEX('2024ds'!$D$2:$D$368, MATCH($B209, '2024ds'!$A$2:$A$368, 0)), "")</f>
        <v/>
      </c>
      <c r="L209" s="21" t="str">
        <f t="shared" si="25"/>
        <v/>
      </c>
      <c r="U209" s="3" t="str">
        <f t="shared" si="26"/>
        <v/>
      </c>
      <c r="V209" s="4" t="str">
        <f t="shared" si="27"/>
        <v/>
      </c>
      <c r="W209" s="4" t="str">
        <f t="shared" si="28"/>
        <v/>
      </c>
      <c r="X209" t="str">
        <f t="shared" si="23"/>
        <v/>
      </c>
    </row>
    <row r="210" spans="3:24">
      <c r="C210" s="12"/>
      <c r="D210" s="1"/>
      <c r="E210" s="1"/>
      <c r="F210" s="1"/>
      <c r="G210" s="11" t="str">
        <f t="shared" si="22"/>
        <v/>
      </c>
      <c r="H210" s="11" t="str">
        <f t="shared" si="24"/>
        <v/>
      </c>
      <c r="I210" s="15" t="str">
        <f>IFERROR(INDEX('2024ds'!$B$2:$B$368, MATCH($B210, '2024ds'!$A$2:$A$368, 0)), "")</f>
        <v/>
      </c>
      <c r="J210" s="1" t="str">
        <f>IFERROR(INDEX('2024ds'!$C$2:$C$368, MATCH($B210, '2024ds'!$A$2:$A$368, 0)), "")</f>
        <v/>
      </c>
      <c r="K210" s="22" t="str">
        <f>IFERROR(INDEX('2024ds'!$D$2:$D$368, MATCH($B210, '2024ds'!$A$2:$A$368, 0)), "")</f>
        <v/>
      </c>
      <c r="L210" s="21" t="str">
        <f t="shared" si="25"/>
        <v/>
      </c>
      <c r="U210" s="3" t="str">
        <f t="shared" si="26"/>
        <v/>
      </c>
      <c r="V210" s="4" t="str">
        <f t="shared" si="27"/>
        <v/>
      </c>
      <c r="W210" s="4" t="str">
        <f t="shared" si="28"/>
        <v/>
      </c>
      <c r="X210" t="str">
        <f t="shared" si="23"/>
        <v/>
      </c>
    </row>
    <row r="211" spans="3:24">
      <c r="C211" s="12"/>
      <c r="D211" s="1"/>
      <c r="E211" s="1"/>
      <c r="F211" s="1"/>
      <c r="G211" s="11" t="str">
        <f t="shared" si="22"/>
        <v/>
      </c>
      <c r="H211" s="11" t="str">
        <f t="shared" si="24"/>
        <v/>
      </c>
      <c r="I211" s="15" t="str">
        <f>IFERROR(INDEX('2024ds'!$B$2:$B$368, MATCH($B211, '2024ds'!$A$2:$A$368, 0)), "")</f>
        <v/>
      </c>
      <c r="J211" s="1" t="str">
        <f>IFERROR(INDEX('2024ds'!$C$2:$C$368, MATCH($B211, '2024ds'!$A$2:$A$368, 0)), "")</f>
        <v/>
      </c>
      <c r="K211" s="22" t="str">
        <f>IFERROR(INDEX('2024ds'!$D$2:$D$368, MATCH($B211, '2024ds'!$A$2:$A$368, 0)), "")</f>
        <v/>
      </c>
      <c r="L211" s="21" t="str">
        <f t="shared" si="25"/>
        <v/>
      </c>
      <c r="U211" s="3" t="str">
        <f t="shared" si="26"/>
        <v/>
      </c>
      <c r="V211" s="4" t="str">
        <f t="shared" si="27"/>
        <v/>
      </c>
      <c r="W211" s="4" t="str">
        <f t="shared" si="28"/>
        <v/>
      </c>
      <c r="X211" t="str">
        <f t="shared" si="23"/>
        <v/>
      </c>
    </row>
    <row r="212" spans="3:24">
      <c r="C212" s="12"/>
      <c r="D212" s="1"/>
      <c r="E212" s="1"/>
      <c r="F212" s="1"/>
      <c r="G212" s="11" t="str">
        <f t="shared" si="22"/>
        <v/>
      </c>
      <c r="H212" s="11" t="str">
        <f t="shared" si="24"/>
        <v/>
      </c>
      <c r="I212" s="15" t="str">
        <f>IFERROR(INDEX('2024ds'!$B$2:$B$368, MATCH($B212, '2024ds'!$A$2:$A$368, 0)), "")</f>
        <v/>
      </c>
      <c r="J212" s="1" t="str">
        <f>IFERROR(INDEX('2024ds'!$C$2:$C$368, MATCH($B212, '2024ds'!$A$2:$A$368, 0)), "")</f>
        <v/>
      </c>
      <c r="K212" s="22" t="str">
        <f>IFERROR(INDEX('2024ds'!$D$2:$D$368, MATCH($B212, '2024ds'!$A$2:$A$368, 0)), "")</f>
        <v/>
      </c>
      <c r="L212" s="21" t="str">
        <f t="shared" si="25"/>
        <v/>
      </c>
      <c r="U212" s="3" t="str">
        <f t="shared" si="26"/>
        <v/>
      </c>
      <c r="V212" s="4" t="str">
        <f t="shared" si="27"/>
        <v/>
      </c>
      <c r="W212" s="4" t="str">
        <f t="shared" si="28"/>
        <v/>
      </c>
      <c r="X212" t="str">
        <f t="shared" si="23"/>
        <v/>
      </c>
    </row>
    <row r="213" spans="3:24">
      <c r="C213" s="12"/>
      <c r="D213" s="1"/>
      <c r="E213" s="1"/>
      <c r="F213" s="1"/>
      <c r="G213" s="11" t="str">
        <f t="shared" si="22"/>
        <v/>
      </c>
      <c r="H213" s="11" t="str">
        <f t="shared" si="24"/>
        <v/>
      </c>
      <c r="I213" s="15" t="str">
        <f>IFERROR(INDEX('2024ds'!$B$2:$B$368, MATCH($B213, '2024ds'!$A$2:$A$368, 0)), "")</f>
        <v/>
      </c>
      <c r="J213" s="1" t="str">
        <f>IFERROR(INDEX('2024ds'!$C$2:$C$368, MATCH($B213, '2024ds'!$A$2:$A$368, 0)), "")</f>
        <v/>
      </c>
      <c r="K213" s="22" t="str">
        <f>IFERROR(INDEX('2024ds'!$D$2:$D$368, MATCH($B213, '2024ds'!$A$2:$A$368, 0)), "")</f>
        <v/>
      </c>
      <c r="L213" s="21" t="str">
        <f t="shared" si="25"/>
        <v/>
      </c>
      <c r="U213" s="3" t="str">
        <f t="shared" si="26"/>
        <v/>
      </c>
      <c r="V213" s="4" t="str">
        <f t="shared" si="27"/>
        <v/>
      </c>
      <c r="W213" s="4" t="str">
        <f t="shared" si="28"/>
        <v/>
      </c>
      <c r="X213" t="str">
        <f t="shared" si="23"/>
        <v/>
      </c>
    </row>
    <row r="214" spans="3:24">
      <c r="C214" s="12"/>
      <c r="D214" s="1"/>
      <c r="E214" s="1"/>
      <c r="F214" s="1"/>
      <c r="G214" s="11" t="str">
        <f t="shared" si="22"/>
        <v/>
      </c>
      <c r="H214" s="11" t="str">
        <f t="shared" si="24"/>
        <v/>
      </c>
      <c r="I214" s="15" t="str">
        <f>IFERROR(INDEX('2024ds'!$B$2:$B$368, MATCH($B214, '2024ds'!$A$2:$A$368, 0)), "")</f>
        <v/>
      </c>
      <c r="J214" s="1" t="str">
        <f>IFERROR(INDEX('2024ds'!$C$2:$C$368, MATCH($B214, '2024ds'!$A$2:$A$368, 0)), "")</f>
        <v/>
      </c>
      <c r="K214" s="22" t="str">
        <f>IFERROR(INDEX('2024ds'!$D$2:$D$368, MATCH($B214, '2024ds'!$A$2:$A$368, 0)), "")</f>
        <v/>
      </c>
      <c r="L214" s="21" t="str">
        <f t="shared" si="25"/>
        <v/>
      </c>
      <c r="U214" s="3" t="str">
        <f t="shared" si="26"/>
        <v/>
      </c>
      <c r="V214" s="4" t="str">
        <f t="shared" si="27"/>
        <v/>
      </c>
      <c r="W214" s="4" t="str">
        <f t="shared" si="28"/>
        <v/>
      </c>
      <c r="X214" t="str">
        <f t="shared" si="23"/>
        <v/>
      </c>
    </row>
    <row r="215" spans="3:24">
      <c r="C215" s="12"/>
      <c r="D215" s="1"/>
      <c r="E215" s="1"/>
      <c r="F215" s="1"/>
      <c r="G215" s="11" t="str">
        <f t="shared" si="22"/>
        <v/>
      </c>
      <c r="H215" s="11" t="str">
        <f t="shared" si="24"/>
        <v/>
      </c>
      <c r="I215" s="15" t="str">
        <f>IFERROR(INDEX('2024ds'!$B$2:$B$368, MATCH($B215, '2024ds'!$A$2:$A$368, 0)), "")</f>
        <v/>
      </c>
      <c r="J215" s="1" t="str">
        <f>IFERROR(INDEX('2024ds'!$C$2:$C$368, MATCH($B215, '2024ds'!$A$2:$A$368, 0)), "")</f>
        <v/>
      </c>
      <c r="K215" s="22" t="str">
        <f>IFERROR(INDEX('2024ds'!$D$2:$D$368, MATCH($B215, '2024ds'!$A$2:$A$368, 0)), "")</f>
        <v/>
      </c>
      <c r="L215" s="21" t="str">
        <f t="shared" si="25"/>
        <v/>
      </c>
      <c r="U215" s="3" t="str">
        <f t="shared" si="26"/>
        <v/>
      </c>
      <c r="V215" s="4" t="str">
        <f t="shared" si="27"/>
        <v/>
      </c>
      <c r="W215" s="4" t="str">
        <f t="shared" si="28"/>
        <v/>
      </c>
      <c r="X215" t="str">
        <f t="shared" si="23"/>
        <v/>
      </c>
    </row>
    <row r="216" spans="3:24">
      <c r="C216" s="12"/>
      <c r="D216" s="1"/>
      <c r="E216" s="1"/>
      <c r="F216" s="1"/>
      <c r="G216" s="11" t="str">
        <f t="shared" si="22"/>
        <v/>
      </c>
      <c r="H216" s="11" t="str">
        <f t="shared" si="24"/>
        <v/>
      </c>
      <c r="I216" s="15" t="str">
        <f>IFERROR(INDEX('2024ds'!$B$2:$B$368, MATCH($B216, '2024ds'!$A$2:$A$368, 0)), "")</f>
        <v/>
      </c>
      <c r="J216" s="1" t="str">
        <f>IFERROR(INDEX('2024ds'!$C$2:$C$368, MATCH($B216, '2024ds'!$A$2:$A$368, 0)), "")</f>
        <v/>
      </c>
      <c r="K216" s="22" t="str">
        <f>IFERROR(INDEX('2024ds'!$D$2:$D$368, MATCH($B216, '2024ds'!$A$2:$A$368, 0)), "")</f>
        <v/>
      </c>
      <c r="L216" s="21" t="str">
        <f t="shared" si="25"/>
        <v/>
      </c>
      <c r="U216" s="3" t="str">
        <f t="shared" si="26"/>
        <v/>
      </c>
      <c r="V216" s="4" t="str">
        <f t="shared" si="27"/>
        <v/>
      </c>
      <c r="W216" s="4" t="str">
        <f t="shared" si="28"/>
        <v/>
      </c>
      <c r="X216" t="str">
        <f t="shared" si="23"/>
        <v/>
      </c>
    </row>
    <row r="217" spans="3:24">
      <c r="C217" s="12"/>
      <c r="D217" s="1"/>
      <c r="E217" s="1"/>
      <c r="F217" s="1"/>
      <c r="G217" s="11" t="str">
        <f t="shared" si="22"/>
        <v/>
      </c>
      <c r="H217" s="11" t="str">
        <f t="shared" si="24"/>
        <v/>
      </c>
      <c r="I217" s="15" t="str">
        <f>IFERROR(INDEX('2024ds'!$B$2:$B$368, MATCH($B217, '2024ds'!$A$2:$A$368, 0)), "")</f>
        <v/>
      </c>
      <c r="J217" s="1" t="str">
        <f>IFERROR(INDEX('2024ds'!$C$2:$C$368, MATCH($B217, '2024ds'!$A$2:$A$368, 0)), "")</f>
        <v/>
      </c>
      <c r="K217" s="22" t="str">
        <f>IFERROR(INDEX('2024ds'!$D$2:$D$368, MATCH($B217, '2024ds'!$A$2:$A$368, 0)), "")</f>
        <v/>
      </c>
      <c r="L217" s="21" t="str">
        <f t="shared" si="25"/>
        <v/>
      </c>
      <c r="U217" s="3" t="str">
        <f t="shared" si="26"/>
        <v/>
      </c>
      <c r="V217" s="4" t="str">
        <f t="shared" si="27"/>
        <v/>
      </c>
      <c r="W217" s="4" t="str">
        <f t="shared" si="28"/>
        <v/>
      </c>
      <c r="X217" t="str">
        <f t="shared" si="23"/>
        <v/>
      </c>
    </row>
    <row r="218" spans="3:24">
      <c r="C218" s="12"/>
      <c r="D218" s="1"/>
      <c r="E218" s="1"/>
      <c r="F218" s="1"/>
      <c r="G218" s="11" t="str">
        <f t="shared" si="22"/>
        <v/>
      </c>
      <c r="H218" s="11" t="str">
        <f t="shared" si="24"/>
        <v/>
      </c>
      <c r="I218" s="15" t="str">
        <f>IFERROR(INDEX('2024ds'!$B$2:$B$368, MATCH($B218, '2024ds'!$A$2:$A$368, 0)), "")</f>
        <v/>
      </c>
      <c r="J218" s="1" t="str">
        <f>IFERROR(INDEX('2024ds'!$C$2:$C$368, MATCH($B218, '2024ds'!$A$2:$A$368, 0)), "")</f>
        <v/>
      </c>
      <c r="K218" s="22" t="str">
        <f>IFERROR(INDEX('2024ds'!$D$2:$D$368, MATCH($B218, '2024ds'!$A$2:$A$368, 0)), "")</f>
        <v/>
      </c>
      <c r="L218" s="21" t="str">
        <f t="shared" si="25"/>
        <v/>
      </c>
      <c r="U218" s="3" t="str">
        <f t="shared" si="26"/>
        <v/>
      </c>
      <c r="V218" s="4" t="str">
        <f t="shared" si="27"/>
        <v/>
      </c>
      <c r="W218" s="4" t="str">
        <f t="shared" si="28"/>
        <v/>
      </c>
      <c r="X218" t="str">
        <f t="shared" si="23"/>
        <v/>
      </c>
    </row>
    <row r="219" spans="3:24">
      <c r="C219" s="12"/>
      <c r="D219" s="1"/>
      <c r="E219" s="1"/>
      <c r="F219" s="1"/>
      <c r="G219" s="11" t="str">
        <f t="shared" si="22"/>
        <v/>
      </c>
      <c r="H219" s="11" t="str">
        <f t="shared" si="24"/>
        <v/>
      </c>
      <c r="I219" s="15" t="str">
        <f>IFERROR(INDEX('2024ds'!$B$2:$B$368, MATCH($B219, '2024ds'!$A$2:$A$368, 0)), "")</f>
        <v/>
      </c>
      <c r="J219" s="1" t="str">
        <f>IFERROR(INDEX('2024ds'!$C$2:$C$368, MATCH($B219, '2024ds'!$A$2:$A$368, 0)), "")</f>
        <v/>
      </c>
      <c r="K219" s="22" t="str">
        <f>IFERROR(INDEX('2024ds'!$D$2:$D$368, MATCH($B219, '2024ds'!$A$2:$A$368, 0)), "")</f>
        <v/>
      </c>
      <c r="L219" s="21" t="str">
        <f t="shared" si="25"/>
        <v/>
      </c>
      <c r="U219" s="3" t="str">
        <f t="shared" si="26"/>
        <v/>
      </c>
      <c r="V219" s="4" t="str">
        <f t="shared" si="27"/>
        <v/>
      </c>
      <c r="W219" s="4" t="str">
        <f t="shared" si="28"/>
        <v/>
      </c>
      <c r="X219" t="str">
        <f t="shared" si="23"/>
        <v/>
      </c>
    </row>
    <row r="220" spans="3:24">
      <c r="C220" s="12"/>
      <c r="D220" s="1"/>
      <c r="E220" s="1"/>
      <c r="F220" s="1"/>
      <c r="G220" s="11" t="str">
        <f t="shared" si="22"/>
        <v/>
      </c>
      <c r="H220" s="11" t="str">
        <f t="shared" si="24"/>
        <v/>
      </c>
      <c r="I220" s="15" t="str">
        <f>IFERROR(INDEX('2024ds'!$B$2:$B$368, MATCH($B220, '2024ds'!$A$2:$A$368, 0)), "")</f>
        <v/>
      </c>
      <c r="J220" s="1" t="str">
        <f>IFERROR(INDEX('2024ds'!$C$2:$C$368, MATCH($B220, '2024ds'!$A$2:$A$368, 0)), "")</f>
        <v/>
      </c>
      <c r="K220" s="22" t="str">
        <f>IFERROR(INDEX('2024ds'!$D$2:$D$368, MATCH($B220, '2024ds'!$A$2:$A$368, 0)), "")</f>
        <v/>
      </c>
      <c r="L220" s="21" t="str">
        <f t="shared" si="25"/>
        <v/>
      </c>
      <c r="U220" s="3" t="str">
        <f t="shared" si="26"/>
        <v/>
      </c>
      <c r="V220" s="4" t="str">
        <f t="shared" si="27"/>
        <v/>
      </c>
      <c r="W220" s="4" t="str">
        <f t="shared" si="28"/>
        <v/>
      </c>
      <c r="X220" t="str">
        <f t="shared" si="23"/>
        <v/>
      </c>
    </row>
    <row r="221" spans="3:24">
      <c r="C221" s="12"/>
      <c r="D221" s="1"/>
      <c r="E221" s="1"/>
      <c r="F221" s="1"/>
      <c r="G221" s="11" t="str">
        <f t="shared" si="22"/>
        <v/>
      </c>
      <c r="H221" s="11" t="str">
        <f t="shared" si="24"/>
        <v/>
      </c>
      <c r="I221" s="15" t="str">
        <f>IFERROR(INDEX('2024ds'!$B$2:$B$368, MATCH($B221, '2024ds'!$A$2:$A$368, 0)), "")</f>
        <v/>
      </c>
      <c r="J221" s="1" t="str">
        <f>IFERROR(INDEX('2024ds'!$C$2:$C$368, MATCH($B221, '2024ds'!$A$2:$A$368, 0)), "")</f>
        <v/>
      </c>
      <c r="K221" s="22" t="str">
        <f>IFERROR(INDEX('2024ds'!$D$2:$D$368, MATCH($B221, '2024ds'!$A$2:$A$368, 0)), "")</f>
        <v/>
      </c>
      <c r="L221" s="21" t="str">
        <f t="shared" si="25"/>
        <v/>
      </c>
      <c r="U221" s="3" t="str">
        <f t="shared" si="26"/>
        <v/>
      </c>
      <c r="V221" s="4" t="str">
        <f t="shared" si="27"/>
        <v/>
      </c>
      <c r="W221" s="4" t="str">
        <f t="shared" si="28"/>
        <v/>
      </c>
      <c r="X221" t="str">
        <f t="shared" si="23"/>
        <v/>
      </c>
    </row>
    <row r="222" spans="3:24">
      <c r="C222" s="12"/>
      <c r="D222" s="1"/>
      <c r="E222" s="1"/>
      <c r="F222" s="1"/>
      <c r="G222" s="11" t="str">
        <f t="shared" si="22"/>
        <v/>
      </c>
      <c r="H222" s="11" t="str">
        <f t="shared" si="24"/>
        <v/>
      </c>
      <c r="I222" s="15" t="str">
        <f>IFERROR(INDEX('2024ds'!$B$2:$B$368, MATCH($B222, '2024ds'!$A$2:$A$368, 0)), "")</f>
        <v/>
      </c>
      <c r="J222" s="1" t="str">
        <f>IFERROR(INDEX('2024ds'!$C$2:$C$368, MATCH($B222, '2024ds'!$A$2:$A$368, 0)), "")</f>
        <v/>
      </c>
      <c r="K222" s="22" t="str">
        <f>IFERROR(INDEX('2024ds'!$D$2:$D$368, MATCH($B222, '2024ds'!$A$2:$A$368, 0)), "")</f>
        <v/>
      </c>
      <c r="L222" s="21" t="str">
        <f t="shared" si="25"/>
        <v/>
      </c>
      <c r="U222" s="3" t="str">
        <f t="shared" si="26"/>
        <v/>
      </c>
      <c r="V222" s="4" t="str">
        <f t="shared" si="27"/>
        <v/>
      </c>
      <c r="W222" s="4" t="str">
        <f t="shared" si="28"/>
        <v/>
      </c>
      <c r="X222" t="str">
        <f t="shared" si="23"/>
        <v/>
      </c>
    </row>
    <row r="223" spans="3:24">
      <c r="C223" s="12"/>
      <c r="D223" s="1"/>
      <c r="E223" s="1"/>
      <c r="F223" s="1"/>
      <c r="G223" s="11" t="str">
        <f t="shared" si="22"/>
        <v/>
      </c>
      <c r="H223" s="11" t="str">
        <f t="shared" si="24"/>
        <v/>
      </c>
      <c r="I223" s="15" t="str">
        <f>IFERROR(INDEX('2024ds'!$B$2:$B$368, MATCH($B223, '2024ds'!$A$2:$A$368, 0)), "")</f>
        <v/>
      </c>
      <c r="J223" s="1" t="str">
        <f>IFERROR(INDEX('2024ds'!$C$2:$C$368, MATCH($B223, '2024ds'!$A$2:$A$368, 0)), "")</f>
        <v/>
      </c>
      <c r="K223" s="22" t="str">
        <f>IFERROR(INDEX('2024ds'!$D$2:$D$368, MATCH($B223, '2024ds'!$A$2:$A$368, 0)), "")</f>
        <v/>
      </c>
      <c r="L223" s="21" t="str">
        <f t="shared" si="25"/>
        <v/>
      </c>
      <c r="U223" s="3" t="str">
        <f t="shared" si="26"/>
        <v/>
      </c>
      <c r="V223" s="4" t="str">
        <f t="shared" si="27"/>
        <v/>
      </c>
      <c r="W223" s="4" t="str">
        <f t="shared" si="28"/>
        <v/>
      </c>
      <c r="X223" t="str">
        <f t="shared" si="23"/>
        <v/>
      </c>
    </row>
    <row r="224" spans="3:24">
      <c r="C224" s="12"/>
      <c r="D224" s="1"/>
      <c r="E224" s="1"/>
      <c r="F224" s="1"/>
      <c r="G224" s="11" t="str">
        <f t="shared" si="22"/>
        <v/>
      </c>
      <c r="H224" s="11" t="str">
        <f t="shared" si="24"/>
        <v/>
      </c>
      <c r="I224" s="15" t="str">
        <f>IFERROR(INDEX('2024ds'!$B$2:$B$368, MATCH($B224, '2024ds'!$A$2:$A$368, 0)), "")</f>
        <v/>
      </c>
      <c r="J224" s="1" t="str">
        <f>IFERROR(INDEX('2024ds'!$C$2:$C$368, MATCH($B224, '2024ds'!$A$2:$A$368, 0)), "")</f>
        <v/>
      </c>
      <c r="K224" s="22" t="str">
        <f>IFERROR(INDEX('2024ds'!$D$2:$D$368, MATCH($B224, '2024ds'!$A$2:$A$368, 0)), "")</f>
        <v/>
      </c>
      <c r="L224" s="21" t="str">
        <f t="shared" si="25"/>
        <v/>
      </c>
      <c r="U224" s="3" t="str">
        <f t="shared" si="26"/>
        <v/>
      </c>
      <c r="V224" s="4" t="str">
        <f t="shared" si="27"/>
        <v/>
      </c>
      <c r="W224" s="4" t="str">
        <f t="shared" si="28"/>
        <v/>
      </c>
      <c r="X224" t="str">
        <f t="shared" si="23"/>
        <v/>
      </c>
    </row>
    <row r="225" spans="3:24">
      <c r="C225" s="12"/>
      <c r="D225" s="1"/>
      <c r="E225" s="1"/>
      <c r="F225" s="1"/>
      <c r="G225" s="11" t="str">
        <f t="shared" si="22"/>
        <v/>
      </c>
      <c r="H225" s="11" t="str">
        <f t="shared" si="24"/>
        <v/>
      </c>
      <c r="I225" s="15" t="str">
        <f>IFERROR(INDEX('2024ds'!$B$2:$B$368, MATCH($B225, '2024ds'!$A$2:$A$368, 0)), "")</f>
        <v/>
      </c>
      <c r="J225" s="1" t="str">
        <f>IFERROR(INDEX('2024ds'!$C$2:$C$368, MATCH($B225, '2024ds'!$A$2:$A$368, 0)), "")</f>
        <v/>
      </c>
      <c r="K225" s="22" t="str">
        <f>IFERROR(INDEX('2024ds'!$D$2:$D$368, MATCH($B225, '2024ds'!$A$2:$A$368, 0)), "")</f>
        <v/>
      </c>
      <c r="L225" s="21" t="str">
        <f t="shared" si="25"/>
        <v/>
      </c>
      <c r="U225" s="3" t="str">
        <f t="shared" si="26"/>
        <v/>
      </c>
      <c r="V225" s="4" t="str">
        <f t="shared" si="27"/>
        <v/>
      </c>
      <c r="W225" s="4" t="str">
        <f t="shared" si="28"/>
        <v/>
      </c>
      <c r="X225" t="str">
        <f t="shared" si="23"/>
        <v/>
      </c>
    </row>
    <row r="226" spans="3:24">
      <c r="C226" s="12"/>
      <c r="D226" s="1"/>
      <c r="E226" s="1"/>
      <c r="F226" s="1"/>
      <c r="G226" s="11" t="str">
        <f t="shared" si="22"/>
        <v/>
      </c>
      <c r="H226" s="11" t="str">
        <f t="shared" si="24"/>
        <v/>
      </c>
      <c r="I226" s="15" t="str">
        <f>IFERROR(INDEX('2024ds'!$B$2:$B$368, MATCH($B226, '2024ds'!$A$2:$A$368, 0)), "")</f>
        <v/>
      </c>
      <c r="J226" s="1" t="str">
        <f>IFERROR(INDEX('2024ds'!$C$2:$C$368, MATCH($B226, '2024ds'!$A$2:$A$368, 0)), "")</f>
        <v/>
      </c>
      <c r="K226" s="22" t="str">
        <f>IFERROR(INDEX('2024ds'!$D$2:$D$368, MATCH($B226, '2024ds'!$A$2:$A$368, 0)), "")</f>
        <v/>
      </c>
      <c r="L226" s="21" t="str">
        <f t="shared" si="25"/>
        <v/>
      </c>
      <c r="U226" s="3" t="str">
        <f t="shared" si="26"/>
        <v/>
      </c>
      <c r="V226" s="4" t="str">
        <f t="shared" si="27"/>
        <v/>
      </c>
      <c r="W226" s="4" t="str">
        <f t="shared" si="28"/>
        <v/>
      </c>
      <c r="X226" t="str">
        <f t="shared" si="23"/>
        <v/>
      </c>
    </row>
    <row r="227" spans="3:24">
      <c r="C227" s="12"/>
      <c r="D227" s="1"/>
      <c r="E227" s="1"/>
      <c r="F227" s="1"/>
      <c r="G227" s="11" t="str">
        <f t="shared" si="22"/>
        <v/>
      </c>
      <c r="H227" s="11" t="str">
        <f t="shared" si="24"/>
        <v/>
      </c>
      <c r="I227" s="15" t="str">
        <f>IFERROR(INDEX('2024ds'!$B$2:$B$368, MATCH($B227, '2024ds'!$A$2:$A$368, 0)), "")</f>
        <v/>
      </c>
      <c r="J227" s="1" t="str">
        <f>IFERROR(INDEX('2024ds'!$C$2:$C$368, MATCH($B227, '2024ds'!$A$2:$A$368, 0)), "")</f>
        <v/>
      </c>
      <c r="K227" s="22" t="str">
        <f>IFERROR(INDEX('2024ds'!$D$2:$D$368, MATCH($B227, '2024ds'!$A$2:$A$368, 0)), "")</f>
        <v/>
      </c>
      <c r="L227" s="21" t="str">
        <f t="shared" si="25"/>
        <v/>
      </c>
      <c r="U227" s="3" t="str">
        <f t="shared" si="26"/>
        <v/>
      </c>
      <c r="V227" s="4" t="str">
        <f t="shared" si="27"/>
        <v/>
      </c>
      <c r="W227" s="4" t="str">
        <f t="shared" si="28"/>
        <v/>
      </c>
      <c r="X227" t="str">
        <f t="shared" si="23"/>
        <v/>
      </c>
    </row>
    <row r="228" spans="3:24">
      <c r="C228" s="12"/>
      <c r="D228" s="1"/>
      <c r="E228" s="1"/>
      <c r="F228" s="1"/>
      <c r="G228" s="11" t="str">
        <f t="shared" si="22"/>
        <v/>
      </c>
      <c r="H228" s="11" t="str">
        <f t="shared" si="24"/>
        <v/>
      </c>
      <c r="I228" s="15" t="str">
        <f>IFERROR(INDEX('2024ds'!$B$2:$B$368, MATCH($B228, '2024ds'!$A$2:$A$368, 0)), "")</f>
        <v/>
      </c>
      <c r="J228" s="1" t="str">
        <f>IFERROR(INDEX('2024ds'!$C$2:$C$368, MATCH($B228, '2024ds'!$A$2:$A$368, 0)), "")</f>
        <v/>
      </c>
      <c r="K228" s="22" t="str">
        <f>IFERROR(INDEX('2024ds'!$D$2:$D$368, MATCH($B228, '2024ds'!$A$2:$A$368, 0)), "")</f>
        <v/>
      </c>
      <c r="L228" s="21" t="str">
        <f t="shared" si="25"/>
        <v/>
      </c>
      <c r="U228" s="3" t="str">
        <f t="shared" si="26"/>
        <v/>
      </c>
      <c r="V228" s="4" t="str">
        <f t="shared" si="27"/>
        <v/>
      </c>
      <c r="W228" s="4" t="str">
        <f t="shared" si="28"/>
        <v/>
      </c>
      <c r="X228" t="str">
        <f t="shared" si="23"/>
        <v/>
      </c>
    </row>
    <row r="229" spans="3:24">
      <c r="C229" s="12"/>
      <c r="D229" s="1"/>
      <c r="E229" s="1"/>
      <c r="F229" s="1"/>
      <c r="G229" s="11" t="str">
        <f t="shared" si="22"/>
        <v/>
      </c>
      <c r="H229" s="11" t="str">
        <f t="shared" si="24"/>
        <v/>
      </c>
      <c r="I229" s="15" t="str">
        <f>IFERROR(INDEX('2024ds'!$B$2:$B$368, MATCH($B229, '2024ds'!$A$2:$A$368, 0)), "")</f>
        <v/>
      </c>
      <c r="J229" s="1" t="str">
        <f>IFERROR(INDEX('2024ds'!$C$2:$C$368, MATCH($B229, '2024ds'!$A$2:$A$368, 0)), "")</f>
        <v/>
      </c>
      <c r="K229" s="22" t="str">
        <f>IFERROR(INDEX('2024ds'!$D$2:$D$368, MATCH($B229, '2024ds'!$A$2:$A$368, 0)), "")</f>
        <v/>
      </c>
      <c r="L229" s="21" t="str">
        <f t="shared" si="25"/>
        <v/>
      </c>
      <c r="U229" s="3" t="str">
        <f t="shared" si="26"/>
        <v/>
      </c>
      <c r="V229" s="4" t="str">
        <f t="shared" si="27"/>
        <v/>
      </c>
      <c r="W229" s="4" t="str">
        <f t="shared" si="28"/>
        <v/>
      </c>
      <c r="X229" t="str">
        <f t="shared" si="23"/>
        <v/>
      </c>
    </row>
    <row r="230" spans="3:24">
      <c r="C230" s="12"/>
      <c r="D230" s="1"/>
      <c r="E230" s="1"/>
      <c r="F230" s="1"/>
      <c r="G230" s="11" t="str">
        <f t="shared" si="22"/>
        <v/>
      </c>
      <c r="H230" s="11" t="str">
        <f t="shared" si="24"/>
        <v/>
      </c>
      <c r="I230" s="15" t="str">
        <f>IFERROR(INDEX('2024ds'!$B$2:$B$368, MATCH($B230, '2024ds'!$A$2:$A$368, 0)), "")</f>
        <v/>
      </c>
      <c r="J230" s="1" t="str">
        <f>IFERROR(INDEX('2024ds'!$C$2:$C$368, MATCH($B230, '2024ds'!$A$2:$A$368, 0)), "")</f>
        <v/>
      </c>
      <c r="K230" s="22" t="str">
        <f>IFERROR(INDEX('2024ds'!$D$2:$D$368, MATCH($B230, '2024ds'!$A$2:$A$368, 0)), "")</f>
        <v/>
      </c>
      <c r="L230" s="21" t="str">
        <f t="shared" si="25"/>
        <v/>
      </c>
      <c r="U230" s="3" t="str">
        <f t="shared" si="26"/>
        <v/>
      </c>
      <c r="V230" s="4" t="str">
        <f t="shared" si="27"/>
        <v/>
      </c>
      <c r="W230" s="4" t="str">
        <f t="shared" si="28"/>
        <v/>
      </c>
      <c r="X230" t="str">
        <f t="shared" si="23"/>
        <v/>
      </c>
    </row>
    <row r="231" spans="3:24">
      <c r="C231" s="12"/>
      <c r="D231" s="1"/>
      <c r="E231" s="1"/>
      <c r="F231" s="1"/>
      <c r="G231" s="11" t="str">
        <f t="shared" si="22"/>
        <v/>
      </c>
      <c r="H231" s="11" t="str">
        <f t="shared" si="24"/>
        <v/>
      </c>
      <c r="I231" s="15" t="str">
        <f>IFERROR(INDEX('2024ds'!$B$2:$B$368, MATCH($B231, '2024ds'!$A$2:$A$368, 0)), "")</f>
        <v/>
      </c>
      <c r="J231" s="1" t="str">
        <f>IFERROR(INDEX('2024ds'!$C$2:$C$368, MATCH($B231, '2024ds'!$A$2:$A$368, 0)), "")</f>
        <v/>
      </c>
      <c r="K231" s="22" t="str">
        <f>IFERROR(INDEX('2024ds'!$D$2:$D$368, MATCH($B231, '2024ds'!$A$2:$A$368, 0)), "")</f>
        <v/>
      </c>
      <c r="L231" s="21" t="str">
        <f t="shared" si="25"/>
        <v/>
      </c>
      <c r="U231" s="3" t="str">
        <f t="shared" si="26"/>
        <v/>
      </c>
      <c r="V231" s="4" t="str">
        <f t="shared" si="27"/>
        <v/>
      </c>
      <c r="W231" s="4" t="str">
        <f t="shared" si="28"/>
        <v/>
      </c>
      <c r="X231" t="str">
        <f t="shared" si="23"/>
        <v/>
      </c>
    </row>
    <row r="232" spans="3:24">
      <c r="C232" s="12"/>
      <c r="D232" s="1"/>
      <c r="E232" s="1"/>
      <c r="F232" s="1"/>
      <c r="G232" s="11" t="str">
        <f t="shared" si="22"/>
        <v/>
      </c>
      <c r="H232" s="11" t="str">
        <f t="shared" si="24"/>
        <v/>
      </c>
      <c r="I232" s="15" t="str">
        <f>IFERROR(INDEX('2024ds'!$B$2:$B$368, MATCH($B232, '2024ds'!$A$2:$A$368, 0)), "")</f>
        <v/>
      </c>
      <c r="J232" s="1" t="str">
        <f>IFERROR(INDEX('2024ds'!$C$2:$C$368, MATCH($B232, '2024ds'!$A$2:$A$368, 0)), "")</f>
        <v/>
      </c>
      <c r="K232" s="22" t="str">
        <f>IFERROR(INDEX('2024ds'!$D$2:$D$368, MATCH($B232, '2024ds'!$A$2:$A$368, 0)), "")</f>
        <v/>
      </c>
      <c r="L232" s="21" t="str">
        <f t="shared" si="25"/>
        <v/>
      </c>
      <c r="U232" s="3" t="str">
        <f t="shared" si="26"/>
        <v/>
      </c>
      <c r="V232" s="4" t="str">
        <f t="shared" si="27"/>
        <v/>
      </c>
      <c r="W232" s="4" t="str">
        <f t="shared" si="28"/>
        <v/>
      </c>
      <c r="X232" t="str">
        <f t="shared" si="23"/>
        <v/>
      </c>
    </row>
    <row r="233" spans="3:24">
      <c r="C233" s="12"/>
      <c r="D233" s="1"/>
      <c r="E233" s="1"/>
      <c r="F233" s="1"/>
      <c r="G233" s="11" t="str">
        <f t="shared" si="22"/>
        <v/>
      </c>
      <c r="H233" s="11" t="str">
        <f t="shared" si="24"/>
        <v/>
      </c>
      <c r="I233" s="15" t="str">
        <f>IFERROR(INDEX('2024ds'!$B$2:$B$368, MATCH($B233, '2024ds'!$A$2:$A$368, 0)), "")</f>
        <v/>
      </c>
      <c r="J233" s="1" t="str">
        <f>IFERROR(INDEX('2024ds'!$C$2:$C$368, MATCH($B233, '2024ds'!$A$2:$A$368, 0)), "")</f>
        <v/>
      </c>
      <c r="K233" s="22" t="str">
        <f>IFERROR(INDEX('2024ds'!$D$2:$D$368, MATCH($B233, '2024ds'!$A$2:$A$368, 0)), "")</f>
        <v/>
      </c>
      <c r="L233" s="21" t="str">
        <f t="shared" si="25"/>
        <v/>
      </c>
      <c r="U233" s="3" t="str">
        <f t="shared" si="26"/>
        <v/>
      </c>
      <c r="V233" s="4" t="str">
        <f t="shared" si="27"/>
        <v/>
      </c>
      <c r="W233" s="4" t="str">
        <f t="shared" si="28"/>
        <v/>
      </c>
      <c r="X233" t="str">
        <f t="shared" si="23"/>
        <v/>
      </c>
    </row>
    <row r="234" spans="3:24">
      <c r="C234" s="12"/>
      <c r="D234" s="1"/>
      <c r="E234" s="1"/>
      <c r="F234" s="1"/>
      <c r="G234" s="11" t="str">
        <f t="shared" si="22"/>
        <v/>
      </c>
      <c r="H234" s="11" t="str">
        <f t="shared" si="24"/>
        <v/>
      </c>
      <c r="I234" s="15" t="str">
        <f>IFERROR(INDEX('2024ds'!$B$2:$B$368, MATCH($B234, '2024ds'!$A$2:$A$368, 0)), "")</f>
        <v/>
      </c>
      <c r="J234" s="1" t="str">
        <f>IFERROR(INDEX('2024ds'!$C$2:$C$368, MATCH($B234, '2024ds'!$A$2:$A$368, 0)), "")</f>
        <v/>
      </c>
      <c r="K234" s="22" t="str">
        <f>IFERROR(INDEX('2024ds'!$D$2:$D$368, MATCH($B234, '2024ds'!$A$2:$A$368, 0)), "")</f>
        <v/>
      </c>
      <c r="L234" s="21" t="str">
        <f t="shared" si="25"/>
        <v/>
      </c>
      <c r="U234" s="3" t="str">
        <f t="shared" si="26"/>
        <v/>
      </c>
      <c r="V234" s="4" t="str">
        <f t="shared" si="27"/>
        <v/>
      </c>
      <c r="W234" s="4" t="str">
        <f t="shared" si="28"/>
        <v/>
      </c>
      <c r="X234" t="str">
        <f t="shared" si="23"/>
        <v/>
      </c>
    </row>
    <row r="235" spans="3:24">
      <c r="C235" s="12"/>
      <c r="D235" s="1"/>
      <c r="E235" s="1"/>
      <c r="F235" s="1"/>
      <c r="G235" s="11" t="str">
        <f t="shared" si="22"/>
        <v/>
      </c>
      <c r="H235" s="11" t="str">
        <f t="shared" si="24"/>
        <v/>
      </c>
      <c r="I235" s="15" t="str">
        <f>IFERROR(INDEX('2024ds'!$B$2:$B$368, MATCH($B235, '2024ds'!$A$2:$A$368, 0)), "")</f>
        <v/>
      </c>
      <c r="J235" s="1" t="str">
        <f>IFERROR(INDEX('2024ds'!$C$2:$C$368, MATCH($B235, '2024ds'!$A$2:$A$368, 0)), "")</f>
        <v/>
      </c>
      <c r="K235" s="22" t="str">
        <f>IFERROR(INDEX('2024ds'!$D$2:$D$368, MATCH($B235, '2024ds'!$A$2:$A$368, 0)), "")</f>
        <v/>
      </c>
      <c r="L235" s="21" t="str">
        <f t="shared" si="25"/>
        <v/>
      </c>
      <c r="U235" s="3" t="str">
        <f t="shared" si="26"/>
        <v/>
      </c>
      <c r="V235" s="4" t="str">
        <f t="shared" si="27"/>
        <v/>
      </c>
      <c r="W235" s="4" t="str">
        <f t="shared" si="28"/>
        <v/>
      </c>
      <c r="X235" t="str">
        <f t="shared" si="23"/>
        <v/>
      </c>
    </row>
    <row r="236" spans="3:24">
      <c r="C236" s="12"/>
      <c r="D236" s="1"/>
      <c r="E236" s="1"/>
      <c r="F236" s="1"/>
      <c r="G236" s="11" t="str">
        <f t="shared" si="22"/>
        <v/>
      </c>
      <c r="H236" s="11" t="str">
        <f t="shared" si="24"/>
        <v/>
      </c>
      <c r="I236" s="15" t="str">
        <f>IFERROR(INDEX('2024ds'!$B$2:$B$368, MATCH($B236, '2024ds'!$A$2:$A$368, 0)), "")</f>
        <v/>
      </c>
      <c r="J236" s="1" t="str">
        <f>IFERROR(INDEX('2024ds'!$C$2:$C$368, MATCH($B236, '2024ds'!$A$2:$A$368, 0)), "")</f>
        <v/>
      </c>
      <c r="K236" s="22" t="str">
        <f>IFERROR(INDEX('2024ds'!$D$2:$D$368, MATCH($B236, '2024ds'!$A$2:$A$368, 0)), "")</f>
        <v/>
      </c>
      <c r="L236" s="21" t="str">
        <f t="shared" si="25"/>
        <v/>
      </c>
      <c r="U236" s="3" t="str">
        <f t="shared" si="26"/>
        <v/>
      </c>
      <c r="V236" s="4" t="str">
        <f t="shared" si="27"/>
        <v/>
      </c>
      <c r="W236" s="4" t="str">
        <f t="shared" si="28"/>
        <v/>
      </c>
      <c r="X236" t="str">
        <f t="shared" si="23"/>
        <v/>
      </c>
    </row>
    <row r="237" spans="3:24">
      <c r="C237" s="12"/>
      <c r="D237" s="1"/>
      <c r="E237" s="1"/>
      <c r="F237" s="1"/>
      <c r="G237" s="11" t="str">
        <f t="shared" si="22"/>
        <v/>
      </c>
      <c r="H237" s="11" t="str">
        <f t="shared" si="24"/>
        <v/>
      </c>
      <c r="I237" s="15" t="str">
        <f>IFERROR(INDEX('2024ds'!$B$2:$B$368, MATCH($B237, '2024ds'!$A$2:$A$368, 0)), "")</f>
        <v/>
      </c>
      <c r="J237" s="1" t="str">
        <f>IFERROR(INDEX('2024ds'!$C$2:$C$368, MATCH($B237, '2024ds'!$A$2:$A$368, 0)), "")</f>
        <v/>
      </c>
      <c r="K237" s="22" t="str">
        <f>IFERROR(INDEX('2024ds'!$D$2:$D$368, MATCH($B237, '2024ds'!$A$2:$A$368, 0)), "")</f>
        <v/>
      </c>
      <c r="L237" s="21" t="str">
        <f t="shared" si="25"/>
        <v/>
      </c>
      <c r="U237" s="3" t="str">
        <f t="shared" si="26"/>
        <v/>
      </c>
      <c r="V237" s="4" t="str">
        <f t="shared" si="27"/>
        <v/>
      </c>
      <c r="W237" s="4" t="str">
        <f t="shared" si="28"/>
        <v/>
      </c>
      <c r="X237" t="str">
        <f t="shared" si="23"/>
        <v/>
      </c>
    </row>
    <row r="238" spans="3:24">
      <c r="C238" s="12"/>
      <c r="D238" s="1"/>
      <c r="E238" s="1"/>
      <c r="F238" s="1"/>
      <c r="G238" s="11" t="str">
        <f t="shared" si="22"/>
        <v/>
      </c>
      <c r="H238" s="11" t="str">
        <f t="shared" si="24"/>
        <v/>
      </c>
      <c r="I238" s="15" t="str">
        <f>IFERROR(INDEX('2024ds'!$B$2:$B$368, MATCH($B238, '2024ds'!$A$2:$A$368, 0)), "")</f>
        <v/>
      </c>
      <c r="J238" s="1" t="str">
        <f>IFERROR(INDEX('2024ds'!$C$2:$C$368, MATCH($B238, '2024ds'!$A$2:$A$368, 0)), "")</f>
        <v/>
      </c>
      <c r="K238" s="22" t="str">
        <f>IFERROR(INDEX('2024ds'!$D$2:$D$368, MATCH($B238, '2024ds'!$A$2:$A$368, 0)), "")</f>
        <v/>
      </c>
      <c r="L238" s="21" t="str">
        <f t="shared" si="25"/>
        <v/>
      </c>
      <c r="U238" s="3" t="str">
        <f t="shared" si="26"/>
        <v/>
      </c>
      <c r="V238" s="4" t="str">
        <f t="shared" si="27"/>
        <v/>
      </c>
      <c r="W238" s="4" t="str">
        <f t="shared" si="28"/>
        <v/>
      </c>
      <c r="X238" t="str">
        <f t="shared" si="23"/>
        <v/>
      </c>
    </row>
    <row r="239" spans="3:24">
      <c r="C239" s="12"/>
      <c r="D239" s="1"/>
      <c r="E239" s="1"/>
      <c r="F239" s="1"/>
      <c r="G239" s="11" t="str">
        <f t="shared" si="22"/>
        <v/>
      </c>
      <c r="H239" s="11" t="str">
        <f t="shared" si="24"/>
        <v/>
      </c>
      <c r="I239" s="15" t="str">
        <f>IFERROR(INDEX('2024ds'!$B$2:$B$368, MATCH($B239, '2024ds'!$A$2:$A$368, 0)), "")</f>
        <v/>
      </c>
      <c r="J239" s="1" t="str">
        <f>IFERROR(INDEX('2024ds'!$C$2:$C$368, MATCH($B239, '2024ds'!$A$2:$A$368, 0)), "")</f>
        <v/>
      </c>
      <c r="K239" s="22" t="str">
        <f>IFERROR(INDEX('2024ds'!$D$2:$D$368, MATCH($B239, '2024ds'!$A$2:$A$368, 0)), "")</f>
        <v/>
      </c>
      <c r="L239" s="21" t="str">
        <f t="shared" si="25"/>
        <v/>
      </c>
      <c r="U239" s="3" t="str">
        <f t="shared" si="26"/>
        <v/>
      </c>
      <c r="V239" s="4" t="str">
        <f t="shared" si="27"/>
        <v/>
      </c>
      <c r="W239" s="4" t="str">
        <f t="shared" si="28"/>
        <v/>
      </c>
      <c r="X239" t="str">
        <f t="shared" si="23"/>
        <v/>
      </c>
    </row>
    <row r="240" spans="3:24">
      <c r="C240" s="12"/>
      <c r="D240" s="1"/>
      <c r="E240" s="1"/>
      <c r="F240" s="1"/>
      <c r="G240" s="11" t="str">
        <f t="shared" si="22"/>
        <v/>
      </c>
      <c r="H240" s="11" t="str">
        <f t="shared" si="24"/>
        <v/>
      </c>
      <c r="I240" s="15" t="str">
        <f>IFERROR(INDEX('2024ds'!$B$2:$B$368, MATCH($B240, '2024ds'!$A$2:$A$368, 0)), "")</f>
        <v/>
      </c>
      <c r="J240" s="1" t="str">
        <f>IFERROR(INDEX('2024ds'!$C$2:$C$368, MATCH($B240, '2024ds'!$A$2:$A$368, 0)), "")</f>
        <v/>
      </c>
      <c r="K240" s="22" t="str">
        <f>IFERROR(INDEX('2024ds'!$D$2:$D$368, MATCH($B240, '2024ds'!$A$2:$A$368, 0)), "")</f>
        <v/>
      </c>
      <c r="L240" s="21" t="str">
        <f t="shared" si="25"/>
        <v/>
      </c>
      <c r="U240" s="3" t="str">
        <f t="shared" si="26"/>
        <v/>
      </c>
      <c r="V240" s="4" t="str">
        <f t="shared" si="27"/>
        <v/>
      </c>
      <c r="W240" s="4" t="str">
        <f t="shared" si="28"/>
        <v/>
      </c>
      <c r="X240" t="str">
        <f t="shared" si="23"/>
        <v/>
      </c>
    </row>
    <row r="241" spans="3:24">
      <c r="C241" s="12"/>
      <c r="D241" s="1"/>
      <c r="E241" s="1"/>
      <c r="F241" s="1"/>
      <c r="G241" s="11" t="str">
        <f t="shared" si="22"/>
        <v/>
      </c>
      <c r="H241" s="11" t="str">
        <f t="shared" si="24"/>
        <v/>
      </c>
      <c r="I241" s="15" t="str">
        <f>IFERROR(INDEX('2024ds'!$B$2:$B$368, MATCH($B241, '2024ds'!$A$2:$A$368, 0)), "")</f>
        <v/>
      </c>
      <c r="J241" s="1" t="str">
        <f>IFERROR(INDEX('2024ds'!$C$2:$C$368, MATCH($B241, '2024ds'!$A$2:$A$368, 0)), "")</f>
        <v/>
      </c>
      <c r="K241" s="22" t="str">
        <f>IFERROR(INDEX('2024ds'!$D$2:$D$368, MATCH($B241, '2024ds'!$A$2:$A$368, 0)), "")</f>
        <v/>
      </c>
      <c r="L241" s="21" t="str">
        <f t="shared" si="25"/>
        <v/>
      </c>
      <c r="U241" s="3" t="str">
        <f t="shared" si="26"/>
        <v/>
      </c>
      <c r="V241" s="4" t="str">
        <f t="shared" si="27"/>
        <v/>
      </c>
      <c r="W241" s="4" t="str">
        <f t="shared" si="28"/>
        <v/>
      </c>
      <c r="X241" t="str">
        <f t="shared" si="23"/>
        <v/>
      </c>
    </row>
    <row r="242" spans="3:24">
      <c r="C242" s="12"/>
      <c r="D242" s="1"/>
      <c r="E242" s="1"/>
      <c r="F242" s="1"/>
      <c r="G242" s="11" t="str">
        <f t="shared" si="22"/>
        <v/>
      </c>
      <c r="H242" s="11" t="str">
        <f t="shared" si="24"/>
        <v/>
      </c>
      <c r="I242" s="15" t="str">
        <f>IFERROR(INDEX('2024ds'!$B$2:$B$368, MATCH($B242, '2024ds'!$A$2:$A$368, 0)), "")</f>
        <v/>
      </c>
      <c r="J242" s="1" t="str">
        <f>IFERROR(INDEX('2024ds'!$C$2:$C$368, MATCH($B242, '2024ds'!$A$2:$A$368, 0)), "")</f>
        <v/>
      </c>
      <c r="K242" s="22" t="str">
        <f>IFERROR(INDEX('2024ds'!$D$2:$D$368, MATCH($B242, '2024ds'!$A$2:$A$368, 0)), "")</f>
        <v/>
      </c>
      <c r="L242" s="21" t="str">
        <f t="shared" si="25"/>
        <v/>
      </c>
      <c r="U242" s="3" t="str">
        <f t="shared" si="26"/>
        <v/>
      </c>
      <c r="V242" s="4" t="str">
        <f t="shared" si="27"/>
        <v/>
      </c>
      <c r="W242" s="4" t="str">
        <f t="shared" si="28"/>
        <v/>
      </c>
      <c r="X242" t="str">
        <f t="shared" si="23"/>
        <v/>
      </c>
    </row>
    <row r="243" spans="3:24">
      <c r="C243" s="12"/>
      <c r="D243" s="1"/>
      <c r="E243" s="1"/>
      <c r="F243" s="1"/>
      <c r="G243" s="11" t="str">
        <f t="shared" si="22"/>
        <v/>
      </c>
      <c r="H243" s="11" t="str">
        <f t="shared" si="24"/>
        <v/>
      </c>
      <c r="I243" s="15" t="str">
        <f>IFERROR(INDEX('2024ds'!$B$2:$B$368, MATCH($B243, '2024ds'!$A$2:$A$368, 0)), "")</f>
        <v/>
      </c>
      <c r="J243" s="1" t="str">
        <f>IFERROR(INDEX('2024ds'!$C$2:$C$368, MATCH($B243, '2024ds'!$A$2:$A$368, 0)), "")</f>
        <v/>
      </c>
      <c r="K243" s="22" t="str">
        <f>IFERROR(INDEX('2024ds'!$D$2:$D$368, MATCH($B243, '2024ds'!$A$2:$A$368, 0)), "")</f>
        <v/>
      </c>
      <c r="L243" s="21" t="str">
        <f t="shared" si="25"/>
        <v/>
      </c>
      <c r="U243" s="3" t="str">
        <f t="shared" si="26"/>
        <v/>
      </c>
      <c r="V243" s="4" t="str">
        <f t="shared" si="27"/>
        <v/>
      </c>
      <c r="W243" s="4" t="str">
        <f t="shared" si="28"/>
        <v/>
      </c>
      <c r="X243" t="str">
        <f t="shared" si="23"/>
        <v/>
      </c>
    </row>
    <row r="244" spans="3:24">
      <c r="C244" s="12"/>
      <c r="D244" s="1"/>
      <c r="E244" s="1"/>
      <c r="F244" s="1"/>
      <c r="G244" s="11" t="str">
        <f t="shared" si="22"/>
        <v/>
      </c>
      <c r="H244" s="11" t="str">
        <f t="shared" si="24"/>
        <v/>
      </c>
      <c r="I244" s="15" t="str">
        <f>IFERROR(INDEX('2024ds'!$B$2:$B$368, MATCH($B244, '2024ds'!$A$2:$A$368, 0)), "")</f>
        <v/>
      </c>
      <c r="J244" s="1" t="str">
        <f>IFERROR(INDEX('2024ds'!$C$2:$C$368, MATCH($B244, '2024ds'!$A$2:$A$368, 0)), "")</f>
        <v/>
      </c>
      <c r="K244" s="22" t="str">
        <f>IFERROR(INDEX('2024ds'!$D$2:$D$368, MATCH($B244, '2024ds'!$A$2:$A$368, 0)), "")</f>
        <v/>
      </c>
      <c r="L244" s="21" t="str">
        <f t="shared" si="25"/>
        <v/>
      </c>
      <c r="U244" s="3" t="str">
        <f t="shared" si="26"/>
        <v/>
      </c>
      <c r="V244" s="4" t="str">
        <f t="shared" si="27"/>
        <v/>
      </c>
      <c r="W244" s="4" t="str">
        <f t="shared" si="28"/>
        <v/>
      </c>
      <c r="X244" t="str">
        <f t="shared" si="23"/>
        <v/>
      </c>
    </row>
    <row r="245" spans="3:24">
      <c r="C245" s="12"/>
      <c r="D245" s="1"/>
      <c r="E245" s="1"/>
      <c r="F245" s="1"/>
      <c r="G245" s="11" t="str">
        <f t="shared" si="22"/>
        <v/>
      </c>
      <c r="H245" s="11" t="str">
        <f t="shared" si="24"/>
        <v/>
      </c>
      <c r="I245" s="15" t="str">
        <f>IFERROR(INDEX('2024ds'!$B$2:$B$368, MATCH($B245, '2024ds'!$A$2:$A$368, 0)), "")</f>
        <v/>
      </c>
      <c r="J245" s="1" t="str">
        <f>IFERROR(INDEX('2024ds'!$C$2:$C$368, MATCH($B245, '2024ds'!$A$2:$A$368, 0)), "")</f>
        <v/>
      </c>
      <c r="K245" s="22" t="str">
        <f>IFERROR(INDEX('2024ds'!$D$2:$D$368, MATCH($B245, '2024ds'!$A$2:$A$368, 0)), "")</f>
        <v/>
      </c>
      <c r="L245" s="21" t="str">
        <f t="shared" si="25"/>
        <v/>
      </c>
      <c r="U245" s="3" t="str">
        <f t="shared" si="26"/>
        <v/>
      </c>
      <c r="V245" s="4" t="str">
        <f t="shared" si="27"/>
        <v/>
      </c>
      <c r="W245" s="4" t="str">
        <f t="shared" si="28"/>
        <v/>
      </c>
      <c r="X245" t="str">
        <f t="shared" si="23"/>
        <v/>
      </c>
    </row>
    <row r="246" spans="3:24">
      <c r="C246" s="12"/>
      <c r="D246" s="1"/>
      <c r="E246" s="1"/>
      <c r="F246" s="1"/>
      <c r="G246" s="11" t="str">
        <f t="shared" si="22"/>
        <v/>
      </c>
      <c r="H246" s="11" t="str">
        <f t="shared" si="24"/>
        <v/>
      </c>
      <c r="I246" s="15" t="str">
        <f>IFERROR(INDEX('2024ds'!$B$2:$B$368, MATCH($B246, '2024ds'!$A$2:$A$368, 0)), "")</f>
        <v/>
      </c>
      <c r="J246" s="1" t="str">
        <f>IFERROR(INDEX('2024ds'!$C$2:$C$368, MATCH($B246, '2024ds'!$A$2:$A$368, 0)), "")</f>
        <v/>
      </c>
      <c r="K246" s="22" t="str">
        <f>IFERROR(INDEX('2024ds'!$D$2:$D$368, MATCH($B246, '2024ds'!$A$2:$A$368, 0)), "")</f>
        <v/>
      </c>
      <c r="L246" s="21" t="str">
        <f t="shared" si="25"/>
        <v/>
      </c>
      <c r="U246" s="3" t="str">
        <f t="shared" si="26"/>
        <v/>
      </c>
      <c r="V246" s="4" t="str">
        <f t="shared" si="27"/>
        <v/>
      </c>
      <c r="W246" s="4" t="str">
        <f t="shared" si="28"/>
        <v/>
      </c>
      <c r="X246" t="str">
        <f t="shared" si="23"/>
        <v/>
      </c>
    </row>
    <row r="247" spans="3:24">
      <c r="C247" s="12"/>
      <c r="D247" s="1"/>
      <c r="E247" s="1"/>
      <c r="F247" s="1"/>
      <c r="G247" s="11" t="str">
        <f t="shared" si="22"/>
        <v/>
      </c>
      <c r="H247" s="11" t="str">
        <f t="shared" si="24"/>
        <v/>
      </c>
      <c r="I247" s="15" t="str">
        <f>IFERROR(INDEX('2024ds'!$B$2:$B$368, MATCH($B247, '2024ds'!$A$2:$A$368, 0)), "")</f>
        <v/>
      </c>
      <c r="J247" s="1" t="str">
        <f>IFERROR(INDEX('2024ds'!$C$2:$C$368, MATCH($B247, '2024ds'!$A$2:$A$368, 0)), "")</f>
        <v/>
      </c>
      <c r="K247" s="22" t="str">
        <f>IFERROR(INDEX('2024ds'!$D$2:$D$368, MATCH($B247, '2024ds'!$A$2:$A$368, 0)), "")</f>
        <v/>
      </c>
      <c r="L247" s="21" t="str">
        <f t="shared" si="25"/>
        <v/>
      </c>
      <c r="U247" s="3" t="str">
        <f t="shared" si="26"/>
        <v/>
      </c>
      <c r="V247" s="4" t="str">
        <f t="shared" si="27"/>
        <v/>
      </c>
      <c r="W247" s="4" t="str">
        <f t="shared" si="28"/>
        <v/>
      </c>
      <c r="X247" t="str">
        <f t="shared" si="23"/>
        <v/>
      </c>
    </row>
    <row r="248" spans="3:24">
      <c r="C248" s="12"/>
      <c r="D248" s="1"/>
      <c r="E248" s="1"/>
      <c r="F248" s="1"/>
      <c r="G248" s="11" t="str">
        <f t="shared" si="22"/>
        <v/>
      </c>
      <c r="H248" s="11" t="str">
        <f t="shared" si="24"/>
        <v/>
      </c>
      <c r="I248" s="15" t="str">
        <f>IFERROR(INDEX('2024ds'!$B$2:$B$368, MATCH($B248, '2024ds'!$A$2:$A$368, 0)), "")</f>
        <v/>
      </c>
      <c r="J248" s="1" t="str">
        <f>IFERROR(INDEX('2024ds'!$C$2:$C$368, MATCH($B248, '2024ds'!$A$2:$A$368, 0)), "")</f>
        <v/>
      </c>
      <c r="K248" s="22" t="str">
        <f>IFERROR(INDEX('2024ds'!$D$2:$D$368, MATCH($B248, '2024ds'!$A$2:$A$368, 0)), "")</f>
        <v/>
      </c>
      <c r="L248" s="21" t="str">
        <f t="shared" si="25"/>
        <v/>
      </c>
      <c r="U248" s="3" t="str">
        <f t="shared" si="26"/>
        <v/>
      </c>
      <c r="V248" s="4" t="str">
        <f t="shared" si="27"/>
        <v/>
      </c>
      <c r="W248" s="4" t="str">
        <f t="shared" si="28"/>
        <v/>
      </c>
      <c r="X248" t="str">
        <f t="shared" si="23"/>
        <v/>
      </c>
    </row>
    <row r="249" spans="3:24">
      <c r="C249" s="12"/>
      <c r="D249" s="1"/>
      <c r="E249" s="1"/>
      <c r="F249" s="1"/>
      <c r="G249" s="11" t="str">
        <f t="shared" si="22"/>
        <v/>
      </c>
      <c r="H249" s="11" t="str">
        <f t="shared" si="24"/>
        <v/>
      </c>
      <c r="I249" s="15" t="str">
        <f>IFERROR(INDEX('2024ds'!$B$2:$B$368, MATCH($B249, '2024ds'!$A$2:$A$368, 0)), "")</f>
        <v/>
      </c>
      <c r="J249" s="1" t="str">
        <f>IFERROR(INDEX('2024ds'!$C$2:$C$368, MATCH($B249, '2024ds'!$A$2:$A$368, 0)), "")</f>
        <v/>
      </c>
      <c r="K249" s="22" t="str">
        <f>IFERROR(INDEX('2024ds'!$D$2:$D$368, MATCH($B249, '2024ds'!$A$2:$A$368, 0)), "")</f>
        <v/>
      </c>
      <c r="L249" s="21" t="str">
        <f t="shared" si="25"/>
        <v/>
      </c>
      <c r="U249" s="3" t="str">
        <f t="shared" si="26"/>
        <v/>
      </c>
      <c r="V249" s="4" t="str">
        <f t="shared" si="27"/>
        <v/>
      </c>
      <c r="W249" s="4" t="str">
        <f t="shared" si="28"/>
        <v/>
      </c>
      <c r="X249" t="str">
        <f t="shared" si="23"/>
        <v/>
      </c>
    </row>
    <row r="250" spans="3:24">
      <c r="C250" s="12"/>
      <c r="D250" s="1"/>
      <c r="E250" s="1"/>
      <c r="F250" s="1"/>
      <c r="G250" s="11" t="str">
        <f t="shared" si="22"/>
        <v/>
      </c>
      <c r="H250" s="11" t="str">
        <f t="shared" si="24"/>
        <v/>
      </c>
      <c r="I250" s="15" t="str">
        <f>IFERROR(INDEX('2024ds'!$B$2:$B$368, MATCH($B250, '2024ds'!$A$2:$A$368, 0)), "")</f>
        <v/>
      </c>
      <c r="J250" s="1" t="str">
        <f>IFERROR(INDEX('2024ds'!$C$2:$C$368, MATCH($B250, '2024ds'!$A$2:$A$368, 0)), "")</f>
        <v/>
      </c>
      <c r="K250" s="22" t="str">
        <f>IFERROR(INDEX('2024ds'!$D$2:$D$368, MATCH($B250, '2024ds'!$A$2:$A$368, 0)), "")</f>
        <v/>
      </c>
      <c r="L250" s="21" t="str">
        <f t="shared" si="25"/>
        <v/>
      </c>
      <c r="U250" s="3" t="str">
        <f t="shared" si="26"/>
        <v/>
      </c>
      <c r="V250" s="4" t="str">
        <f t="shared" si="27"/>
        <v/>
      </c>
      <c r="W250" s="4" t="str">
        <f t="shared" si="28"/>
        <v/>
      </c>
      <c r="X250" t="str">
        <f t="shared" si="23"/>
        <v/>
      </c>
    </row>
    <row r="251" spans="3:24">
      <c r="C251" s="12"/>
      <c r="D251" s="1"/>
      <c r="E251" s="1"/>
      <c r="F251" s="1"/>
      <c r="G251" s="11" t="str">
        <f t="shared" si="22"/>
        <v/>
      </c>
      <c r="H251" s="11" t="str">
        <f t="shared" si="24"/>
        <v/>
      </c>
      <c r="I251" s="15" t="str">
        <f>IFERROR(INDEX('2024ds'!$B$2:$B$368, MATCH($B251, '2024ds'!$A$2:$A$368, 0)), "")</f>
        <v/>
      </c>
      <c r="J251" s="1" t="str">
        <f>IFERROR(INDEX('2024ds'!$C$2:$C$368, MATCH($B251, '2024ds'!$A$2:$A$368, 0)), "")</f>
        <v/>
      </c>
      <c r="K251" s="22" t="str">
        <f>IFERROR(INDEX('2024ds'!$D$2:$D$368, MATCH($B251, '2024ds'!$A$2:$A$368, 0)), "")</f>
        <v/>
      </c>
      <c r="L251" s="21" t="str">
        <f t="shared" si="25"/>
        <v/>
      </c>
      <c r="U251" s="3" t="str">
        <f t="shared" si="26"/>
        <v/>
      </c>
      <c r="V251" s="4" t="str">
        <f t="shared" si="27"/>
        <v/>
      </c>
      <c r="W251" s="4" t="str">
        <f t="shared" si="28"/>
        <v/>
      </c>
      <c r="X251" t="str">
        <f t="shared" si="23"/>
        <v/>
      </c>
    </row>
    <row r="252" spans="3:24">
      <c r="C252" s="12"/>
      <c r="D252" s="1"/>
      <c r="E252" s="1"/>
      <c r="F252" s="1"/>
      <c r="G252" s="11" t="str">
        <f t="shared" si="22"/>
        <v/>
      </c>
      <c r="H252" s="11" t="str">
        <f t="shared" si="24"/>
        <v/>
      </c>
      <c r="I252" s="15" t="str">
        <f>IFERROR(INDEX('2024ds'!$B$2:$B$368, MATCH($B252, '2024ds'!$A$2:$A$368, 0)), "")</f>
        <v/>
      </c>
      <c r="J252" s="1" t="str">
        <f>IFERROR(INDEX('2024ds'!$C$2:$C$368, MATCH($B252, '2024ds'!$A$2:$A$368, 0)), "")</f>
        <v/>
      </c>
      <c r="K252" s="22" t="str">
        <f>IFERROR(INDEX('2024ds'!$D$2:$D$368, MATCH($B252, '2024ds'!$A$2:$A$368, 0)), "")</f>
        <v/>
      </c>
      <c r="L252" s="21" t="str">
        <f t="shared" si="25"/>
        <v/>
      </c>
      <c r="U252" s="3" t="str">
        <f t="shared" si="26"/>
        <v/>
      </c>
      <c r="V252" s="4" t="str">
        <f t="shared" si="27"/>
        <v/>
      </c>
      <c r="W252" s="4" t="str">
        <f t="shared" si="28"/>
        <v/>
      </c>
      <c r="X252" t="str">
        <f t="shared" si="23"/>
        <v/>
      </c>
    </row>
    <row r="253" spans="3:24">
      <c r="C253" s="12"/>
      <c r="D253" s="1"/>
      <c r="E253" s="1"/>
      <c r="F253" s="1"/>
      <c r="G253" s="11" t="str">
        <f t="shared" si="22"/>
        <v/>
      </c>
      <c r="H253" s="11" t="str">
        <f t="shared" si="24"/>
        <v/>
      </c>
      <c r="I253" s="15" t="str">
        <f>IFERROR(INDEX('2024ds'!$B$2:$B$368, MATCH($B253, '2024ds'!$A$2:$A$368, 0)), "")</f>
        <v/>
      </c>
      <c r="J253" s="1" t="str">
        <f>IFERROR(INDEX('2024ds'!$C$2:$C$368, MATCH($B253, '2024ds'!$A$2:$A$368, 0)), "")</f>
        <v/>
      </c>
      <c r="K253" s="22" t="str">
        <f>IFERROR(INDEX('2024ds'!$D$2:$D$368, MATCH($B253, '2024ds'!$A$2:$A$368, 0)), "")</f>
        <v/>
      </c>
      <c r="L253" s="21" t="str">
        <f t="shared" si="25"/>
        <v/>
      </c>
      <c r="U253" s="3" t="str">
        <f t="shared" si="26"/>
        <v/>
      </c>
      <c r="V253" s="4" t="str">
        <f t="shared" si="27"/>
        <v/>
      </c>
      <c r="W253" s="4" t="str">
        <f t="shared" si="28"/>
        <v/>
      </c>
      <c r="X253" t="str">
        <f t="shared" si="23"/>
        <v/>
      </c>
    </row>
    <row r="254" spans="3:24">
      <c r="C254" s="12"/>
      <c r="D254" s="1"/>
      <c r="E254" s="1"/>
      <c r="F254" s="1"/>
      <c r="G254" s="11" t="str">
        <f t="shared" si="22"/>
        <v/>
      </c>
      <c r="H254" s="11" t="str">
        <f t="shared" si="24"/>
        <v/>
      </c>
      <c r="I254" s="15" t="str">
        <f>IFERROR(INDEX('2024ds'!$B$2:$B$368, MATCH($B254, '2024ds'!$A$2:$A$368, 0)), "")</f>
        <v/>
      </c>
      <c r="J254" s="1" t="str">
        <f>IFERROR(INDEX('2024ds'!$C$2:$C$368, MATCH($B254, '2024ds'!$A$2:$A$368, 0)), "")</f>
        <v/>
      </c>
      <c r="K254" s="22" t="str">
        <f>IFERROR(INDEX('2024ds'!$D$2:$D$368, MATCH($B254, '2024ds'!$A$2:$A$368, 0)), "")</f>
        <v/>
      </c>
      <c r="L254" s="21" t="str">
        <f t="shared" si="25"/>
        <v/>
      </c>
      <c r="U254" s="3" t="str">
        <f t="shared" si="26"/>
        <v/>
      </c>
      <c r="V254" s="4" t="str">
        <f t="shared" si="27"/>
        <v/>
      </c>
      <c r="W254" s="4" t="str">
        <f t="shared" si="28"/>
        <v/>
      </c>
      <c r="X254" t="str">
        <f t="shared" si="23"/>
        <v/>
      </c>
    </row>
    <row r="255" spans="3:24">
      <c r="C255" s="12"/>
      <c r="D255" s="1"/>
      <c r="E255" s="1"/>
      <c r="F255" s="1"/>
      <c r="G255" s="11" t="str">
        <f t="shared" si="22"/>
        <v/>
      </c>
      <c r="H255" s="11" t="str">
        <f t="shared" si="24"/>
        <v/>
      </c>
      <c r="I255" s="15" t="str">
        <f>IFERROR(INDEX('2024ds'!$B$2:$B$368, MATCH($B255, '2024ds'!$A$2:$A$368, 0)), "")</f>
        <v/>
      </c>
      <c r="J255" s="1" t="str">
        <f>IFERROR(INDEX('2024ds'!$C$2:$C$368, MATCH($B255, '2024ds'!$A$2:$A$368, 0)), "")</f>
        <v/>
      </c>
      <c r="K255" s="22" t="str">
        <f>IFERROR(INDEX('2024ds'!$D$2:$D$368, MATCH($B255, '2024ds'!$A$2:$A$368, 0)), "")</f>
        <v/>
      </c>
      <c r="L255" s="21" t="str">
        <f t="shared" si="25"/>
        <v/>
      </c>
      <c r="U255" s="3" t="str">
        <f t="shared" si="26"/>
        <v/>
      </c>
      <c r="V255" s="4" t="str">
        <f t="shared" si="27"/>
        <v/>
      </c>
      <c r="W255" s="4" t="str">
        <f t="shared" si="28"/>
        <v/>
      </c>
      <c r="X255" t="str">
        <f t="shared" si="23"/>
        <v/>
      </c>
    </row>
    <row r="256" spans="3:24">
      <c r="C256" s="12"/>
      <c r="D256" s="1"/>
      <c r="E256" s="1"/>
      <c r="F256" s="1"/>
      <c r="G256" s="11" t="str">
        <f t="shared" si="22"/>
        <v/>
      </c>
      <c r="H256" s="11" t="str">
        <f t="shared" si="24"/>
        <v/>
      </c>
      <c r="I256" s="15" t="str">
        <f>IFERROR(INDEX('2024ds'!$B$2:$B$368, MATCH($B256, '2024ds'!$A$2:$A$368, 0)), "")</f>
        <v/>
      </c>
      <c r="J256" s="1" t="str">
        <f>IFERROR(INDEX('2024ds'!$C$2:$C$368, MATCH($B256, '2024ds'!$A$2:$A$368, 0)), "")</f>
        <v/>
      </c>
      <c r="K256" s="22" t="str">
        <f>IFERROR(INDEX('2024ds'!$D$2:$D$368, MATCH($B256, '2024ds'!$A$2:$A$368, 0)), "")</f>
        <v/>
      </c>
      <c r="L256" s="21" t="str">
        <f t="shared" si="25"/>
        <v/>
      </c>
      <c r="U256" s="3" t="str">
        <f t="shared" si="26"/>
        <v/>
      </c>
      <c r="V256" s="4" t="str">
        <f t="shared" si="27"/>
        <v/>
      </c>
      <c r="W256" s="4" t="str">
        <f t="shared" si="28"/>
        <v/>
      </c>
      <c r="X256" t="str">
        <f t="shared" si="23"/>
        <v/>
      </c>
    </row>
    <row r="257" spans="3:24">
      <c r="C257" s="12"/>
      <c r="D257" s="1"/>
      <c r="E257" s="1"/>
      <c r="F257" s="1"/>
      <c r="G257" s="11" t="str">
        <f t="shared" si="22"/>
        <v/>
      </c>
      <c r="H257" s="11" t="str">
        <f t="shared" si="24"/>
        <v/>
      </c>
      <c r="I257" s="15" t="str">
        <f>IFERROR(INDEX('2024ds'!$B$2:$B$368, MATCH($B257, '2024ds'!$A$2:$A$368, 0)), "")</f>
        <v/>
      </c>
      <c r="J257" s="1" t="str">
        <f>IFERROR(INDEX('2024ds'!$C$2:$C$368, MATCH($B257, '2024ds'!$A$2:$A$368, 0)), "")</f>
        <v/>
      </c>
      <c r="K257" s="22" t="str">
        <f>IFERROR(INDEX('2024ds'!$D$2:$D$368, MATCH($B257, '2024ds'!$A$2:$A$368, 0)), "")</f>
        <v/>
      </c>
      <c r="L257" s="21" t="str">
        <f t="shared" si="25"/>
        <v/>
      </c>
      <c r="U257" s="3" t="str">
        <f t="shared" si="26"/>
        <v/>
      </c>
      <c r="V257" s="4" t="str">
        <f t="shared" si="27"/>
        <v/>
      </c>
      <c r="W257" s="4" t="str">
        <f t="shared" si="28"/>
        <v/>
      </c>
      <c r="X257" t="str">
        <f t="shared" si="23"/>
        <v/>
      </c>
    </row>
    <row r="258" spans="3:24">
      <c r="C258" s="12"/>
      <c r="D258" s="1"/>
      <c r="E258" s="1"/>
      <c r="F258" s="1"/>
      <c r="G258" s="11" t="str">
        <f t="shared" ref="G258:G321" si="29">IF(X258="", "", TIMEVALUE("0:" &amp; X258))</f>
        <v/>
      </c>
      <c r="H258" s="11" t="str">
        <f t="shared" si="24"/>
        <v/>
      </c>
      <c r="I258" s="15" t="str">
        <f>IFERROR(INDEX('2024ds'!$B$2:$B$368, MATCH($B258, '2024ds'!$A$2:$A$368, 0)), "")</f>
        <v/>
      </c>
      <c r="J258" s="1" t="str">
        <f>IFERROR(INDEX('2024ds'!$C$2:$C$368, MATCH($B258, '2024ds'!$A$2:$A$368, 0)), "")</f>
        <v/>
      </c>
      <c r="K258" s="22" t="str">
        <f>IFERROR(INDEX('2024ds'!$D$2:$D$368, MATCH($B258, '2024ds'!$A$2:$A$368, 0)), "")</f>
        <v/>
      </c>
      <c r="L258" s="21" t="str">
        <f t="shared" si="25"/>
        <v/>
      </c>
      <c r="U258" s="3" t="str">
        <f t="shared" si="26"/>
        <v/>
      </c>
      <c r="V258" s="4" t="str">
        <f t="shared" si="27"/>
        <v/>
      </c>
      <c r="W258" s="4" t="str">
        <f t="shared" si="28"/>
        <v/>
      </c>
      <c r="X258" t="str">
        <f t="shared" ref="X258:X321" si="30">IF(V258="", "", IF(MOD(W258,1)*60&gt;=59.5, TEXT(INT(W258)+1, "0") &amp; ":00", TEXT(INT(W258), "0") &amp; ":" &amp; TEXT(ROUND(MOD(W258,1)*60, 0), "00")))</f>
        <v/>
      </c>
    </row>
    <row r="259" spans="3:24">
      <c r="C259" s="12"/>
      <c r="D259" s="1"/>
      <c r="E259" s="1"/>
      <c r="F259" s="1"/>
      <c r="G259" s="11" t="str">
        <f t="shared" si="29"/>
        <v/>
      </c>
      <c r="H259" s="11" t="str">
        <f t="shared" ref="H259:H322" si="31">IF(X259="", "", TIMEVALUE("0:" &amp; X259))</f>
        <v/>
      </c>
      <c r="I259" s="15" t="str">
        <f>IFERROR(INDEX('2024ds'!$B$2:$B$368, MATCH($B259, '2024ds'!$A$2:$A$368, 0)), "")</f>
        <v/>
      </c>
      <c r="J259" s="1" t="str">
        <f>IFERROR(INDEX('2024ds'!$C$2:$C$368, MATCH($B259, '2024ds'!$A$2:$A$368, 0)), "")</f>
        <v/>
      </c>
      <c r="K259" s="22" t="str">
        <f>IFERROR(INDEX('2024ds'!$D$2:$D$368, MATCH($B259, '2024ds'!$A$2:$A$368, 0)), "")</f>
        <v/>
      </c>
      <c r="L259" s="21" t="str">
        <f t="shared" ref="L259:L322" si="32">HYPERLINK("#'2024ds'!E" &amp; ROW(B259), "")</f>
        <v/>
      </c>
      <c r="U259" s="3" t="str">
        <f t="shared" ref="U259:U322" si="33">IF(C259="","",TIMEVALUE(C259))</f>
        <v/>
      </c>
      <c r="V259" s="4" t="str">
        <f t="shared" ref="V259:V322" si="34">IF(C259="","",HOUR(C259)*60 + MINUTE(C259) + SECOND(C259)/60)</f>
        <v/>
      </c>
      <c r="W259" s="4" t="str">
        <f t="shared" ref="W259:W322" si="35">IF(V259="","",V259/D259)</f>
        <v/>
      </c>
      <c r="X259" t="str">
        <f t="shared" si="30"/>
        <v/>
      </c>
    </row>
    <row r="260" spans="3:24">
      <c r="C260" s="12"/>
      <c r="D260" s="1"/>
      <c r="E260" s="1"/>
      <c r="F260" s="1"/>
      <c r="G260" s="11" t="str">
        <f t="shared" si="29"/>
        <v/>
      </c>
      <c r="H260" s="11" t="str">
        <f t="shared" si="31"/>
        <v/>
      </c>
      <c r="I260" s="15" t="str">
        <f>IFERROR(INDEX('2024ds'!$B$2:$B$368, MATCH($B260, '2024ds'!$A$2:$A$368, 0)), "")</f>
        <v/>
      </c>
      <c r="J260" s="1" t="str">
        <f>IFERROR(INDEX('2024ds'!$C$2:$C$368, MATCH($B260, '2024ds'!$A$2:$A$368, 0)), "")</f>
        <v/>
      </c>
      <c r="K260" s="22" t="str">
        <f>IFERROR(INDEX('2024ds'!$D$2:$D$368, MATCH($B260, '2024ds'!$A$2:$A$368, 0)), "")</f>
        <v/>
      </c>
      <c r="L260" s="21" t="str">
        <f t="shared" si="32"/>
        <v/>
      </c>
      <c r="U260" s="3" t="str">
        <f t="shared" si="33"/>
        <v/>
      </c>
      <c r="V260" s="4" t="str">
        <f t="shared" si="34"/>
        <v/>
      </c>
      <c r="W260" s="4" t="str">
        <f t="shared" si="35"/>
        <v/>
      </c>
      <c r="X260" t="str">
        <f t="shared" si="30"/>
        <v/>
      </c>
    </row>
    <row r="261" spans="3:24">
      <c r="C261" s="12"/>
      <c r="D261" s="1"/>
      <c r="E261" s="1"/>
      <c r="F261" s="1"/>
      <c r="G261" s="11" t="str">
        <f t="shared" si="29"/>
        <v/>
      </c>
      <c r="H261" s="11" t="str">
        <f t="shared" si="31"/>
        <v/>
      </c>
      <c r="I261" s="15" t="str">
        <f>IFERROR(INDEX('2024ds'!$B$2:$B$368, MATCH($B261, '2024ds'!$A$2:$A$368, 0)), "")</f>
        <v/>
      </c>
      <c r="J261" s="1" t="str">
        <f>IFERROR(INDEX('2024ds'!$C$2:$C$368, MATCH($B261, '2024ds'!$A$2:$A$368, 0)), "")</f>
        <v/>
      </c>
      <c r="K261" s="22" t="str">
        <f>IFERROR(INDEX('2024ds'!$D$2:$D$368, MATCH($B261, '2024ds'!$A$2:$A$368, 0)), "")</f>
        <v/>
      </c>
      <c r="L261" s="21" t="str">
        <f t="shared" si="32"/>
        <v/>
      </c>
      <c r="U261" s="3" t="str">
        <f t="shared" si="33"/>
        <v/>
      </c>
      <c r="V261" s="4" t="str">
        <f t="shared" si="34"/>
        <v/>
      </c>
      <c r="W261" s="4" t="str">
        <f t="shared" si="35"/>
        <v/>
      </c>
      <c r="X261" t="str">
        <f t="shared" si="30"/>
        <v/>
      </c>
    </row>
    <row r="262" spans="3:24">
      <c r="C262" s="12"/>
      <c r="D262" s="1"/>
      <c r="E262" s="1"/>
      <c r="F262" s="1"/>
      <c r="G262" s="11" t="str">
        <f t="shared" si="29"/>
        <v/>
      </c>
      <c r="H262" s="11" t="str">
        <f t="shared" si="31"/>
        <v/>
      </c>
      <c r="I262" s="15" t="str">
        <f>IFERROR(INDEX('2024ds'!$B$2:$B$368, MATCH($B262, '2024ds'!$A$2:$A$368, 0)), "")</f>
        <v/>
      </c>
      <c r="J262" s="1" t="str">
        <f>IFERROR(INDEX('2024ds'!$C$2:$C$368, MATCH($B262, '2024ds'!$A$2:$A$368, 0)), "")</f>
        <v/>
      </c>
      <c r="K262" s="22" t="str">
        <f>IFERROR(INDEX('2024ds'!$D$2:$D$368, MATCH($B262, '2024ds'!$A$2:$A$368, 0)), "")</f>
        <v/>
      </c>
      <c r="L262" s="21" t="str">
        <f t="shared" si="32"/>
        <v/>
      </c>
      <c r="U262" s="3" t="str">
        <f t="shared" si="33"/>
        <v/>
      </c>
      <c r="V262" s="4" t="str">
        <f t="shared" si="34"/>
        <v/>
      </c>
      <c r="W262" s="4" t="str">
        <f t="shared" si="35"/>
        <v/>
      </c>
      <c r="X262" t="str">
        <f t="shared" si="30"/>
        <v/>
      </c>
    </row>
    <row r="263" spans="3:24">
      <c r="C263" s="12"/>
      <c r="D263" s="1"/>
      <c r="E263" s="1"/>
      <c r="F263" s="1"/>
      <c r="G263" s="11" t="str">
        <f t="shared" si="29"/>
        <v/>
      </c>
      <c r="H263" s="11" t="str">
        <f t="shared" si="31"/>
        <v/>
      </c>
      <c r="I263" s="15" t="str">
        <f>IFERROR(INDEX('2024ds'!$B$2:$B$368, MATCH($B263, '2024ds'!$A$2:$A$368, 0)), "")</f>
        <v/>
      </c>
      <c r="J263" s="1" t="str">
        <f>IFERROR(INDEX('2024ds'!$C$2:$C$368, MATCH($B263, '2024ds'!$A$2:$A$368, 0)), "")</f>
        <v/>
      </c>
      <c r="K263" s="22" t="str">
        <f>IFERROR(INDEX('2024ds'!$D$2:$D$368, MATCH($B263, '2024ds'!$A$2:$A$368, 0)), "")</f>
        <v/>
      </c>
      <c r="L263" s="21" t="str">
        <f t="shared" si="32"/>
        <v/>
      </c>
      <c r="U263" s="3" t="str">
        <f t="shared" si="33"/>
        <v/>
      </c>
      <c r="V263" s="4" t="str">
        <f t="shared" si="34"/>
        <v/>
      </c>
      <c r="W263" s="4" t="str">
        <f t="shared" si="35"/>
        <v/>
      </c>
      <c r="X263" t="str">
        <f t="shared" si="30"/>
        <v/>
      </c>
    </row>
    <row r="264" spans="3:24">
      <c r="C264" s="12"/>
      <c r="D264" s="1"/>
      <c r="E264" s="1"/>
      <c r="F264" s="1"/>
      <c r="G264" s="11" t="str">
        <f t="shared" si="29"/>
        <v/>
      </c>
      <c r="H264" s="11" t="str">
        <f t="shared" si="31"/>
        <v/>
      </c>
      <c r="I264" s="15" t="str">
        <f>IFERROR(INDEX('2024ds'!$B$2:$B$368, MATCH($B264, '2024ds'!$A$2:$A$368, 0)), "")</f>
        <v/>
      </c>
      <c r="J264" s="1" t="str">
        <f>IFERROR(INDEX('2024ds'!$C$2:$C$368, MATCH($B264, '2024ds'!$A$2:$A$368, 0)), "")</f>
        <v/>
      </c>
      <c r="K264" s="22" t="str">
        <f>IFERROR(INDEX('2024ds'!$D$2:$D$368, MATCH($B264, '2024ds'!$A$2:$A$368, 0)), "")</f>
        <v/>
      </c>
      <c r="L264" s="21" t="str">
        <f t="shared" si="32"/>
        <v/>
      </c>
      <c r="U264" s="3" t="str">
        <f t="shared" si="33"/>
        <v/>
      </c>
      <c r="V264" s="4" t="str">
        <f t="shared" si="34"/>
        <v/>
      </c>
      <c r="W264" s="4" t="str">
        <f t="shared" si="35"/>
        <v/>
      </c>
      <c r="X264" t="str">
        <f t="shared" si="30"/>
        <v/>
      </c>
    </row>
    <row r="265" spans="3:24">
      <c r="C265" s="12"/>
      <c r="D265" s="1"/>
      <c r="E265" s="1"/>
      <c r="F265" s="1"/>
      <c r="G265" s="11" t="str">
        <f t="shared" si="29"/>
        <v/>
      </c>
      <c r="H265" s="11" t="str">
        <f t="shared" si="31"/>
        <v/>
      </c>
      <c r="I265" s="15" t="str">
        <f>IFERROR(INDEX('2024ds'!$B$2:$B$368, MATCH($B265, '2024ds'!$A$2:$A$368, 0)), "")</f>
        <v/>
      </c>
      <c r="J265" s="1" t="str">
        <f>IFERROR(INDEX('2024ds'!$C$2:$C$368, MATCH($B265, '2024ds'!$A$2:$A$368, 0)), "")</f>
        <v/>
      </c>
      <c r="K265" s="22" t="str">
        <f>IFERROR(INDEX('2024ds'!$D$2:$D$368, MATCH($B265, '2024ds'!$A$2:$A$368, 0)), "")</f>
        <v/>
      </c>
      <c r="L265" s="21" t="str">
        <f t="shared" si="32"/>
        <v/>
      </c>
      <c r="U265" s="3" t="str">
        <f t="shared" si="33"/>
        <v/>
      </c>
      <c r="V265" s="4" t="str">
        <f t="shared" si="34"/>
        <v/>
      </c>
      <c r="W265" s="4" t="str">
        <f t="shared" si="35"/>
        <v/>
      </c>
      <c r="X265" t="str">
        <f t="shared" si="30"/>
        <v/>
      </c>
    </row>
    <row r="266" spans="3:24">
      <c r="C266" s="12"/>
      <c r="D266" s="1"/>
      <c r="E266" s="1"/>
      <c r="F266" s="1"/>
      <c r="G266" s="11" t="str">
        <f t="shared" si="29"/>
        <v/>
      </c>
      <c r="H266" s="11" t="str">
        <f t="shared" si="31"/>
        <v/>
      </c>
      <c r="I266" s="15" t="str">
        <f>IFERROR(INDEX('2024ds'!$B$2:$B$368, MATCH($B266, '2024ds'!$A$2:$A$368, 0)), "")</f>
        <v/>
      </c>
      <c r="J266" s="1" t="str">
        <f>IFERROR(INDEX('2024ds'!$C$2:$C$368, MATCH($B266, '2024ds'!$A$2:$A$368, 0)), "")</f>
        <v/>
      </c>
      <c r="K266" s="22" t="str">
        <f>IFERROR(INDEX('2024ds'!$D$2:$D$368, MATCH($B266, '2024ds'!$A$2:$A$368, 0)), "")</f>
        <v/>
      </c>
      <c r="L266" s="21" t="str">
        <f t="shared" si="32"/>
        <v/>
      </c>
      <c r="U266" s="3" t="str">
        <f t="shared" si="33"/>
        <v/>
      </c>
      <c r="V266" s="4" t="str">
        <f t="shared" si="34"/>
        <v/>
      </c>
      <c r="W266" s="4" t="str">
        <f t="shared" si="35"/>
        <v/>
      </c>
      <c r="X266" t="str">
        <f t="shared" si="30"/>
        <v/>
      </c>
    </row>
    <row r="267" spans="3:24">
      <c r="C267" s="12"/>
      <c r="D267" s="1"/>
      <c r="E267" s="1"/>
      <c r="F267" s="1"/>
      <c r="G267" s="11" t="str">
        <f t="shared" si="29"/>
        <v/>
      </c>
      <c r="H267" s="11" t="str">
        <f t="shared" si="31"/>
        <v/>
      </c>
      <c r="I267" s="15" t="str">
        <f>IFERROR(INDEX('2024ds'!$B$2:$B$368, MATCH($B267, '2024ds'!$A$2:$A$368, 0)), "")</f>
        <v/>
      </c>
      <c r="J267" s="1" t="str">
        <f>IFERROR(INDEX('2024ds'!$C$2:$C$368, MATCH($B267, '2024ds'!$A$2:$A$368, 0)), "")</f>
        <v/>
      </c>
      <c r="K267" s="22" t="str">
        <f>IFERROR(INDEX('2024ds'!$D$2:$D$368, MATCH($B267, '2024ds'!$A$2:$A$368, 0)), "")</f>
        <v/>
      </c>
      <c r="L267" s="21" t="str">
        <f t="shared" si="32"/>
        <v/>
      </c>
      <c r="U267" s="3" t="str">
        <f t="shared" si="33"/>
        <v/>
      </c>
      <c r="V267" s="4" t="str">
        <f t="shared" si="34"/>
        <v/>
      </c>
      <c r="W267" s="4" t="str">
        <f t="shared" si="35"/>
        <v/>
      </c>
      <c r="X267" t="str">
        <f t="shared" si="30"/>
        <v/>
      </c>
    </row>
    <row r="268" spans="3:24">
      <c r="C268" s="12"/>
      <c r="D268" s="1"/>
      <c r="E268" s="1"/>
      <c r="F268" s="1"/>
      <c r="G268" s="11" t="str">
        <f t="shared" si="29"/>
        <v/>
      </c>
      <c r="H268" s="11" t="str">
        <f t="shared" si="31"/>
        <v/>
      </c>
      <c r="I268" s="15" t="str">
        <f>IFERROR(INDEX('2024ds'!$B$2:$B$368, MATCH($B268, '2024ds'!$A$2:$A$368, 0)), "")</f>
        <v/>
      </c>
      <c r="J268" s="1" t="str">
        <f>IFERROR(INDEX('2024ds'!$C$2:$C$368, MATCH($B268, '2024ds'!$A$2:$A$368, 0)), "")</f>
        <v/>
      </c>
      <c r="K268" s="22" t="str">
        <f>IFERROR(INDEX('2024ds'!$D$2:$D$368, MATCH($B268, '2024ds'!$A$2:$A$368, 0)), "")</f>
        <v/>
      </c>
      <c r="L268" s="21" t="str">
        <f t="shared" si="32"/>
        <v/>
      </c>
      <c r="U268" s="3" t="str">
        <f t="shared" si="33"/>
        <v/>
      </c>
      <c r="V268" s="4" t="str">
        <f t="shared" si="34"/>
        <v/>
      </c>
      <c r="W268" s="4" t="str">
        <f t="shared" si="35"/>
        <v/>
      </c>
      <c r="X268" t="str">
        <f t="shared" si="30"/>
        <v/>
      </c>
    </row>
    <row r="269" spans="3:24">
      <c r="C269" s="12"/>
      <c r="D269" s="1"/>
      <c r="E269" s="1"/>
      <c r="F269" s="1"/>
      <c r="G269" s="11" t="str">
        <f t="shared" si="29"/>
        <v/>
      </c>
      <c r="H269" s="11" t="str">
        <f t="shared" si="31"/>
        <v/>
      </c>
      <c r="I269" s="15" t="str">
        <f>IFERROR(INDEX('2024ds'!$B$2:$B$368, MATCH($B269, '2024ds'!$A$2:$A$368, 0)), "")</f>
        <v/>
      </c>
      <c r="J269" s="1" t="str">
        <f>IFERROR(INDEX('2024ds'!$C$2:$C$368, MATCH($B269, '2024ds'!$A$2:$A$368, 0)), "")</f>
        <v/>
      </c>
      <c r="K269" s="22" t="str">
        <f>IFERROR(INDEX('2024ds'!$D$2:$D$368, MATCH($B269, '2024ds'!$A$2:$A$368, 0)), "")</f>
        <v/>
      </c>
      <c r="L269" s="21" t="str">
        <f t="shared" si="32"/>
        <v/>
      </c>
      <c r="U269" s="3" t="str">
        <f t="shared" si="33"/>
        <v/>
      </c>
      <c r="V269" s="4" t="str">
        <f t="shared" si="34"/>
        <v/>
      </c>
      <c r="W269" s="4" t="str">
        <f t="shared" si="35"/>
        <v/>
      </c>
      <c r="X269" t="str">
        <f t="shared" si="30"/>
        <v/>
      </c>
    </row>
    <row r="270" spans="3:24">
      <c r="C270" s="12"/>
      <c r="D270" s="1"/>
      <c r="E270" s="1"/>
      <c r="F270" s="1"/>
      <c r="G270" s="11" t="str">
        <f t="shared" si="29"/>
        <v/>
      </c>
      <c r="H270" s="11" t="str">
        <f t="shared" si="31"/>
        <v/>
      </c>
      <c r="I270" s="15" t="str">
        <f>IFERROR(INDEX('2024ds'!$B$2:$B$368, MATCH($B270, '2024ds'!$A$2:$A$368, 0)), "")</f>
        <v/>
      </c>
      <c r="J270" s="1" t="str">
        <f>IFERROR(INDEX('2024ds'!$C$2:$C$368, MATCH($B270, '2024ds'!$A$2:$A$368, 0)), "")</f>
        <v/>
      </c>
      <c r="K270" s="22" t="str">
        <f>IFERROR(INDEX('2024ds'!$D$2:$D$368, MATCH($B270, '2024ds'!$A$2:$A$368, 0)), "")</f>
        <v/>
      </c>
      <c r="L270" s="21" t="str">
        <f t="shared" si="32"/>
        <v/>
      </c>
      <c r="U270" s="3" t="str">
        <f t="shared" si="33"/>
        <v/>
      </c>
      <c r="V270" s="4" t="str">
        <f t="shared" si="34"/>
        <v/>
      </c>
      <c r="W270" s="4" t="str">
        <f t="shared" si="35"/>
        <v/>
      </c>
      <c r="X270" t="str">
        <f t="shared" si="30"/>
        <v/>
      </c>
    </row>
    <row r="271" spans="3:24">
      <c r="C271" s="12"/>
      <c r="D271" s="1"/>
      <c r="E271" s="1"/>
      <c r="F271" s="1"/>
      <c r="G271" s="11" t="str">
        <f t="shared" si="29"/>
        <v/>
      </c>
      <c r="H271" s="11" t="str">
        <f t="shared" si="31"/>
        <v/>
      </c>
      <c r="I271" s="15" t="str">
        <f>IFERROR(INDEX('2024ds'!$B$2:$B$368, MATCH($B271, '2024ds'!$A$2:$A$368, 0)), "")</f>
        <v/>
      </c>
      <c r="J271" s="1" t="str">
        <f>IFERROR(INDEX('2024ds'!$C$2:$C$368, MATCH($B271, '2024ds'!$A$2:$A$368, 0)), "")</f>
        <v/>
      </c>
      <c r="K271" s="22" t="str">
        <f>IFERROR(INDEX('2024ds'!$D$2:$D$368, MATCH($B271, '2024ds'!$A$2:$A$368, 0)), "")</f>
        <v/>
      </c>
      <c r="L271" s="21" t="str">
        <f t="shared" si="32"/>
        <v/>
      </c>
      <c r="U271" s="3" t="str">
        <f t="shared" si="33"/>
        <v/>
      </c>
      <c r="V271" s="4" t="str">
        <f t="shared" si="34"/>
        <v/>
      </c>
      <c r="W271" s="4" t="str">
        <f t="shared" si="35"/>
        <v/>
      </c>
      <c r="X271" t="str">
        <f t="shared" si="30"/>
        <v/>
      </c>
    </row>
    <row r="272" spans="3:24">
      <c r="C272" s="12"/>
      <c r="D272" s="1"/>
      <c r="E272" s="1"/>
      <c r="F272" s="1"/>
      <c r="G272" s="11" t="str">
        <f t="shared" si="29"/>
        <v/>
      </c>
      <c r="H272" s="11" t="str">
        <f t="shared" si="31"/>
        <v/>
      </c>
      <c r="I272" s="15" t="str">
        <f>IFERROR(INDEX('2024ds'!$B$2:$B$368, MATCH($B272, '2024ds'!$A$2:$A$368, 0)), "")</f>
        <v/>
      </c>
      <c r="J272" s="1" t="str">
        <f>IFERROR(INDEX('2024ds'!$C$2:$C$368, MATCH($B272, '2024ds'!$A$2:$A$368, 0)), "")</f>
        <v/>
      </c>
      <c r="K272" s="22" t="str">
        <f>IFERROR(INDEX('2024ds'!$D$2:$D$368, MATCH($B272, '2024ds'!$A$2:$A$368, 0)), "")</f>
        <v/>
      </c>
      <c r="L272" s="21" t="str">
        <f t="shared" si="32"/>
        <v/>
      </c>
      <c r="U272" s="3" t="str">
        <f t="shared" si="33"/>
        <v/>
      </c>
      <c r="V272" s="4" t="str">
        <f t="shared" si="34"/>
        <v/>
      </c>
      <c r="W272" s="4" t="str">
        <f t="shared" si="35"/>
        <v/>
      </c>
      <c r="X272" t="str">
        <f t="shared" si="30"/>
        <v/>
      </c>
    </row>
    <row r="273" spans="3:24">
      <c r="C273" s="12"/>
      <c r="D273" s="1"/>
      <c r="E273" s="1"/>
      <c r="F273" s="1"/>
      <c r="G273" s="11" t="str">
        <f t="shared" si="29"/>
        <v/>
      </c>
      <c r="H273" s="11" t="str">
        <f t="shared" si="31"/>
        <v/>
      </c>
      <c r="I273" s="15" t="str">
        <f>IFERROR(INDEX('2024ds'!$B$2:$B$368, MATCH($B273, '2024ds'!$A$2:$A$368, 0)), "")</f>
        <v/>
      </c>
      <c r="J273" s="1" t="str">
        <f>IFERROR(INDEX('2024ds'!$C$2:$C$368, MATCH($B273, '2024ds'!$A$2:$A$368, 0)), "")</f>
        <v/>
      </c>
      <c r="K273" s="22" t="str">
        <f>IFERROR(INDEX('2024ds'!$D$2:$D$368, MATCH($B273, '2024ds'!$A$2:$A$368, 0)), "")</f>
        <v/>
      </c>
      <c r="L273" s="21" t="str">
        <f t="shared" si="32"/>
        <v/>
      </c>
      <c r="U273" s="3" t="str">
        <f t="shared" si="33"/>
        <v/>
      </c>
      <c r="V273" s="4" t="str">
        <f t="shared" si="34"/>
        <v/>
      </c>
      <c r="W273" s="4" t="str">
        <f t="shared" si="35"/>
        <v/>
      </c>
      <c r="X273" t="str">
        <f t="shared" si="30"/>
        <v/>
      </c>
    </row>
    <row r="274" spans="3:24">
      <c r="C274" s="12"/>
      <c r="D274" s="1"/>
      <c r="E274" s="1"/>
      <c r="F274" s="1"/>
      <c r="G274" s="11" t="str">
        <f t="shared" si="29"/>
        <v/>
      </c>
      <c r="H274" s="11" t="str">
        <f t="shared" si="31"/>
        <v/>
      </c>
      <c r="I274" s="15" t="str">
        <f>IFERROR(INDEX('2024ds'!$B$2:$B$368, MATCH($B274, '2024ds'!$A$2:$A$368, 0)), "")</f>
        <v/>
      </c>
      <c r="J274" s="1" t="str">
        <f>IFERROR(INDEX('2024ds'!$C$2:$C$368, MATCH($B274, '2024ds'!$A$2:$A$368, 0)), "")</f>
        <v/>
      </c>
      <c r="K274" s="22" t="str">
        <f>IFERROR(INDEX('2024ds'!$D$2:$D$368, MATCH($B274, '2024ds'!$A$2:$A$368, 0)), "")</f>
        <v/>
      </c>
      <c r="L274" s="21" t="str">
        <f t="shared" si="32"/>
        <v/>
      </c>
      <c r="U274" s="3" t="str">
        <f t="shared" si="33"/>
        <v/>
      </c>
      <c r="V274" s="4" t="str">
        <f t="shared" si="34"/>
        <v/>
      </c>
      <c r="W274" s="4" t="str">
        <f t="shared" si="35"/>
        <v/>
      </c>
      <c r="X274" t="str">
        <f t="shared" si="30"/>
        <v/>
      </c>
    </row>
    <row r="275" spans="3:24">
      <c r="C275" s="12"/>
      <c r="D275" s="1"/>
      <c r="E275" s="1"/>
      <c r="F275" s="1"/>
      <c r="G275" s="11" t="str">
        <f t="shared" si="29"/>
        <v/>
      </c>
      <c r="H275" s="11" t="str">
        <f t="shared" si="31"/>
        <v/>
      </c>
      <c r="I275" s="15" t="str">
        <f>IFERROR(INDEX('2024ds'!$B$2:$B$368, MATCH($B275, '2024ds'!$A$2:$A$368, 0)), "")</f>
        <v/>
      </c>
      <c r="J275" s="1" t="str">
        <f>IFERROR(INDEX('2024ds'!$C$2:$C$368, MATCH($B275, '2024ds'!$A$2:$A$368, 0)), "")</f>
        <v/>
      </c>
      <c r="K275" s="22" t="str">
        <f>IFERROR(INDEX('2024ds'!$D$2:$D$368, MATCH($B275, '2024ds'!$A$2:$A$368, 0)), "")</f>
        <v/>
      </c>
      <c r="L275" s="21" t="str">
        <f t="shared" si="32"/>
        <v/>
      </c>
      <c r="U275" s="3" t="str">
        <f t="shared" si="33"/>
        <v/>
      </c>
      <c r="V275" s="4" t="str">
        <f t="shared" si="34"/>
        <v/>
      </c>
      <c r="W275" s="4" t="str">
        <f t="shared" si="35"/>
        <v/>
      </c>
      <c r="X275" t="str">
        <f t="shared" si="30"/>
        <v/>
      </c>
    </row>
    <row r="276" spans="3:24">
      <c r="C276" s="12"/>
      <c r="D276" s="1"/>
      <c r="E276" s="1"/>
      <c r="F276" s="1"/>
      <c r="G276" s="11" t="str">
        <f t="shared" si="29"/>
        <v/>
      </c>
      <c r="H276" s="11" t="str">
        <f t="shared" si="31"/>
        <v/>
      </c>
      <c r="I276" s="15" t="str">
        <f>IFERROR(INDEX('2024ds'!$B$2:$B$368, MATCH($B276, '2024ds'!$A$2:$A$368, 0)), "")</f>
        <v/>
      </c>
      <c r="J276" s="1" t="str">
        <f>IFERROR(INDEX('2024ds'!$C$2:$C$368, MATCH($B276, '2024ds'!$A$2:$A$368, 0)), "")</f>
        <v/>
      </c>
      <c r="K276" s="22" t="str">
        <f>IFERROR(INDEX('2024ds'!$D$2:$D$368, MATCH($B276, '2024ds'!$A$2:$A$368, 0)), "")</f>
        <v/>
      </c>
      <c r="L276" s="21" t="str">
        <f t="shared" si="32"/>
        <v/>
      </c>
      <c r="U276" s="3" t="str">
        <f t="shared" si="33"/>
        <v/>
      </c>
      <c r="V276" s="4" t="str">
        <f t="shared" si="34"/>
        <v/>
      </c>
      <c r="W276" s="4" t="str">
        <f t="shared" si="35"/>
        <v/>
      </c>
      <c r="X276" t="str">
        <f t="shared" si="30"/>
        <v/>
      </c>
    </row>
    <row r="277" spans="3:24">
      <c r="C277" s="12"/>
      <c r="D277" s="1"/>
      <c r="E277" s="1"/>
      <c r="F277" s="1"/>
      <c r="G277" s="11" t="str">
        <f t="shared" si="29"/>
        <v/>
      </c>
      <c r="H277" s="11" t="str">
        <f t="shared" si="31"/>
        <v/>
      </c>
      <c r="I277" s="15" t="str">
        <f>IFERROR(INDEX('2024ds'!$B$2:$B$368, MATCH($B277, '2024ds'!$A$2:$A$368, 0)), "")</f>
        <v/>
      </c>
      <c r="J277" s="1" t="str">
        <f>IFERROR(INDEX('2024ds'!$C$2:$C$368, MATCH($B277, '2024ds'!$A$2:$A$368, 0)), "")</f>
        <v/>
      </c>
      <c r="K277" s="22" t="str">
        <f>IFERROR(INDEX('2024ds'!$D$2:$D$368, MATCH($B277, '2024ds'!$A$2:$A$368, 0)), "")</f>
        <v/>
      </c>
      <c r="L277" s="21" t="str">
        <f t="shared" si="32"/>
        <v/>
      </c>
      <c r="U277" s="3" t="str">
        <f t="shared" si="33"/>
        <v/>
      </c>
      <c r="V277" s="4" t="str">
        <f t="shared" si="34"/>
        <v/>
      </c>
      <c r="W277" s="4" t="str">
        <f t="shared" si="35"/>
        <v/>
      </c>
      <c r="X277" t="str">
        <f t="shared" si="30"/>
        <v/>
      </c>
    </row>
    <row r="278" spans="3:24">
      <c r="C278" s="12"/>
      <c r="D278" s="1"/>
      <c r="E278" s="1"/>
      <c r="F278" s="1"/>
      <c r="G278" s="11" t="str">
        <f t="shared" si="29"/>
        <v/>
      </c>
      <c r="H278" s="11" t="str">
        <f t="shared" si="31"/>
        <v/>
      </c>
      <c r="I278" s="15" t="str">
        <f>IFERROR(INDEX('2024ds'!$B$2:$B$368, MATCH($B278, '2024ds'!$A$2:$A$368, 0)), "")</f>
        <v/>
      </c>
      <c r="J278" s="1" t="str">
        <f>IFERROR(INDEX('2024ds'!$C$2:$C$368, MATCH($B278, '2024ds'!$A$2:$A$368, 0)), "")</f>
        <v/>
      </c>
      <c r="K278" s="22" t="str">
        <f>IFERROR(INDEX('2024ds'!$D$2:$D$368, MATCH($B278, '2024ds'!$A$2:$A$368, 0)), "")</f>
        <v/>
      </c>
      <c r="L278" s="21" t="str">
        <f t="shared" si="32"/>
        <v/>
      </c>
      <c r="U278" s="3" t="str">
        <f t="shared" si="33"/>
        <v/>
      </c>
      <c r="V278" s="4" t="str">
        <f t="shared" si="34"/>
        <v/>
      </c>
      <c r="W278" s="4" t="str">
        <f t="shared" si="35"/>
        <v/>
      </c>
      <c r="X278" t="str">
        <f t="shared" si="30"/>
        <v/>
      </c>
    </row>
    <row r="279" spans="3:24">
      <c r="C279" s="12"/>
      <c r="D279" s="1"/>
      <c r="E279" s="1"/>
      <c r="F279" s="1"/>
      <c r="G279" s="11" t="str">
        <f t="shared" si="29"/>
        <v/>
      </c>
      <c r="H279" s="11" t="str">
        <f t="shared" si="31"/>
        <v/>
      </c>
      <c r="I279" s="15" t="str">
        <f>IFERROR(INDEX('2024ds'!$B$2:$B$368, MATCH($B279, '2024ds'!$A$2:$A$368, 0)), "")</f>
        <v/>
      </c>
      <c r="J279" s="1" t="str">
        <f>IFERROR(INDEX('2024ds'!$C$2:$C$368, MATCH($B279, '2024ds'!$A$2:$A$368, 0)), "")</f>
        <v/>
      </c>
      <c r="K279" s="22" t="str">
        <f>IFERROR(INDEX('2024ds'!$D$2:$D$368, MATCH($B279, '2024ds'!$A$2:$A$368, 0)), "")</f>
        <v/>
      </c>
      <c r="L279" s="21" t="str">
        <f t="shared" si="32"/>
        <v/>
      </c>
      <c r="U279" s="3" t="str">
        <f t="shared" si="33"/>
        <v/>
      </c>
      <c r="V279" s="4" t="str">
        <f t="shared" si="34"/>
        <v/>
      </c>
      <c r="W279" s="4" t="str">
        <f t="shared" si="35"/>
        <v/>
      </c>
      <c r="X279" t="str">
        <f t="shared" si="30"/>
        <v/>
      </c>
    </row>
    <row r="280" spans="3:24">
      <c r="C280" s="12"/>
      <c r="D280" s="1"/>
      <c r="E280" s="1"/>
      <c r="F280" s="1"/>
      <c r="G280" s="11" t="str">
        <f t="shared" si="29"/>
        <v/>
      </c>
      <c r="H280" s="11" t="str">
        <f t="shared" si="31"/>
        <v/>
      </c>
      <c r="I280" s="15" t="str">
        <f>IFERROR(INDEX('2024ds'!$B$2:$B$368, MATCH($B280, '2024ds'!$A$2:$A$368, 0)), "")</f>
        <v/>
      </c>
      <c r="J280" s="1" t="str">
        <f>IFERROR(INDEX('2024ds'!$C$2:$C$368, MATCH($B280, '2024ds'!$A$2:$A$368, 0)), "")</f>
        <v/>
      </c>
      <c r="K280" s="22" t="str">
        <f>IFERROR(INDEX('2024ds'!$D$2:$D$368, MATCH($B280, '2024ds'!$A$2:$A$368, 0)), "")</f>
        <v/>
      </c>
      <c r="L280" s="21" t="str">
        <f t="shared" si="32"/>
        <v/>
      </c>
      <c r="U280" s="3" t="str">
        <f t="shared" si="33"/>
        <v/>
      </c>
      <c r="V280" s="4" t="str">
        <f t="shared" si="34"/>
        <v/>
      </c>
      <c r="W280" s="4" t="str">
        <f t="shared" si="35"/>
        <v/>
      </c>
      <c r="X280" t="str">
        <f t="shared" si="30"/>
        <v/>
      </c>
    </row>
    <row r="281" spans="3:24">
      <c r="C281" s="12"/>
      <c r="D281" s="1"/>
      <c r="E281" s="1"/>
      <c r="F281" s="1"/>
      <c r="G281" s="11" t="str">
        <f t="shared" si="29"/>
        <v/>
      </c>
      <c r="H281" s="11" t="str">
        <f t="shared" si="31"/>
        <v/>
      </c>
      <c r="I281" s="15" t="str">
        <f>IFERROR(INDEX('2024ds'!$B$2:$B$368, MATCH($B281, '2024ds'!$A$2:$A$368, 0)), "")</f>
        <v/>
      </c>
      <c r="J281" s="1" t="str">
        <f>IFERROR(INDEX('2024ds'!$C$2:$C$368, MATCH($B281, '2024ds'!$A$2:$A$368, 0)), "")</f>
        <v/>
      </c>
      <c r="K281" s="22" t="str">
        <f>IFERROR(INDEX('2024ds'!$D$2:$D$368, MATCH($B281, '2024ds'!$A$2:$A$368, 0)), "")</f>
        <v/>
      </c>
      <c r="L281" s="21" t="str">
        <f t="shared" si="32"/>
        <v/>
      </c>
      <c r="U281" s="3" t="str">
        <f t="shared" si="33"/>
        <v/>
      </c>
      <c r="V281" s="4" t="str">
        <f t="shared" si="34"/>
        <v/>
      </c>
      <c r="W281" s="4" t="str">
        <f t="shared" si="35"/>
        <v/>
      </c>
      <c r="X281" t="str">
        <f t="shared" si="30"/>
        <v/>
      </c>
    </row>
    <row r="282" spans="3:24">
      <c r="C282" s="12"/>
      <c r="D282" s="1"/>
      <c r="E282" s="1"/>
      <c r="F282" s="1"/>
      <c r="G282" s="11" t="str">
        <f t="shared" si="29"/>
        <v/>
      </c>
      <c r="H282" s="11" t="str">
        <f t="shared" si="31"/>
        <v/>
      </c>
      <c r="I282" s="15" t="str">
        <f>IFERROR(INDEX('2024ds'!$B$2:$B$368, MATCH($B282, '2024ds'!$A$2:$A$368, 0)), "")</f>
        <v/>
      </c>
      <c r="J282" s="1" t="str">
        <f>IFERROR(INDEX('2024ds'!$C$2:$C$368, MATCH($B282, '2024ds'!$A$2:$A$368, 0)), "")</f>
        <v/>
      </c>
      <c r="K282" s="22" t="str">
        <f>IFERROR(INDEX('2024ds'!$D$2:$D$368, MATCH($B282, '2024ds'!$A$2:$A$368, 0)), "")</f>
        <v/>
      </c>
      <c r="L282" s="21" t="str">
        <f t="shared" si="32"/>
        <v/>
      </c>
      <c r="U282" s="3" t="str">
        <f t="shared" si="33"/>
        <v/>
      </c>
      <c r="V282" s="4" t="str">
        <f t="shared" si="34"/>
        <v/>
      </c>
      <c r="W282" s="4" t="str">
        <f t="shared" si="35"/>
        <v/>
      </c>
      <c r="X282" t="str">
        <f t="shared" si="30"/>
        <v/>
      </c>
    </row>
    <row r="283" spans="3:24">
      <c r="C283" s="12"/>
      <c r="D283" s="1"/>
      <c r="E283" s="1"/>
      <c r="F283" s="1"/>
      <c r="G283" s="11" t="str">
        <f t="shared" si="29"/>
        <v/>
      </c>
      <c r="H283" s="11" t="str">
        <f t="shared" si="31"/>
        <v/>
      </c>
      <c r="I283" s="15" t="str">
        <f>IFERROR(INDEX('2024ds'!$B$2:$B$368, MATCH($B283, '2024ds'!$A$2:$A$368, 0)), "")</f>
        <v/>
      </c>
      <c r="J283" s="1" t="str">
        <f>IFERROR(INDEX('2024ds'!$C$2:$C$368, MATCH($B283, '2024ds'!$A$2:$A$368, 0)), "")</f>
        <v/>
      </c>
      <c r="K283" s="22" t="str">
        <f>IFERROR(INDEX('2024ds'!$D$2:$D$368, MATCH($B283, '2024ds'!$A$2:$A$368, 0)), "")</f>
        <v/>
      </c>
      <c r="L283" s="21" t="str">
        <f t="shared" si="32"/>
        <v/>
      </c>
      <c r="U283" s="3" t="str">
        <f t="shared" si="33"/>
        <v/>
      </c>
      <c r="V283" s="4" t="str">
        <f t="shared" si="34"/>
        <v/>
      </c>
      <c r="W283" s="4" t="str">
        <f t="shared" si="35"/>
        <v/>
      </c>
      <c r="X283" t="str">
        <f t="shared" si="30"/>
        <v/>
      </c>
    </row>
    <row r="284" spans="3:24">
      <c r="C284" s="12"/>
      <c r="D284" s="1"/>
      <c r="E284" s="1"/>
      <c r="F284" s="1"/>
      <c r="G284" s="11" t="str">
        <f t="shared" si="29"/>
        <v/>
      </c>
      <c r="H284" s="11" t="str">
        <f t="shared" si="31"/>
        <v/>
      </c>
      <c r="I284" s="15" t="str">
        <f>IFERROR(INDEX('2024ds'!$B$2:$B$368, MATCH($B284, '2024ds'!$A$2:$A$368, 0)), "")</f>
        <v/>
      </c>
      <c r="J284" s="1" t="str">
        <f>IFERROR(INDEX('2024ds'!$C$2:$C$368, MATCH($B284, '2024ds'!$A$2:$A$368, 0)), "")</f>
        <v/>
      </c>
      <c r="K284" s="22" t="str">
        <f>IFERROR(INDEX('2024ds'!$D$2:$D$368, MATCH($B284, '2024ds'!$A$2:$A$368, 0)), "")</f>
        <v/>
      </c>
      <c r="L284" s="21" t="str">
        <f t="shared" si="32"/>
        <v/>
      </c>
      <c r="U284" s="3" t="str">
        <f t="shared" si="33"/>
        <v/>
      </c>
      <c r="V284" s="4" t="str">
        <f t="shared" si="34"/>
        <v/>
      </c>
      <c r="W284" s="4" t="str">
        <f t="shared" si="35"/>
        <v/>
      </c>
      <c r="X284" t="str">
        <f t="shared" si="30"/>
        <v/>
      </c>
    </row>
    <row r="285" spans="3:24">
      <c r="C285" s="12"/>
      <c r="D285" s="1"/>
      <c r="E285" s="1"/>
      <c r="F285" s="1"/>
      <c r="G285" s="11" t="str">
        <f t="shared" si="29"/>
        <v/>
      </c>
      <c r="H285" s="11" t="str">
        <f t="shared" si="31"/>
        <v/>
      </c>
      <c r="I285" s="15" t="str">
        <f>IFERROR(INDEX('2024ds'!$B$2:$B$368, MATCH($B285, '2024ds'!$A$2:$A$368, 0)), "")</f>
        <v/>
      </c>
      <c r="J285" s="1" t="str">
        <f>IFERROR(INDEX('2024ds'!$C$2:$C$368, MATCH($B285, '2024ds'!$A$2:$A$368, 0)), "")</f>
        <v/>
      </c>
      <c r="K285" s="22" t="str">
        <f>IFERROR(INDEX('2024ds'!$D$2:$D$368, MATCH($B285, '2024ds'!$A$2:$A$368, 0)), "")</f>
        <v/>
      </c>
      <c r="L285" s="21" t="str">
        <f t="shared" si="32"/>
        <v/>
      </c>
      <c r="U285" s="3" t="str">
        <f t="shared" si="33"/>
        <v/>
      </c>
      <c r="V285" s="4" t="str">
        <f t="shared" si="34"/>
        <v/>
      </c>
      <c r="W285" s="4" t="str">
        <f t="shared" si="35"/>
        <v/>
      </c>
      <c r="X285" t="str">
        <f t="shared" si="30"/>
        <v/>
      </c>
    </row>
    <row r="286" spans="3:24">
      <c r="C286" s="12"/>
      <c r="D286" s="1"/>
      <c r="E286" s="1"/>
      <c r="F286" s="1"/>
      <c r="G286" s="11" t="str">
        <f t="shared" si="29"/>
        <v/>
      </c>
      <c r="H286" s="11" t="str">
        <f t="shared" si="31"/>
        <v/>
      </c>
      <c r="I286" s="15" t="str">
        <f>IFERROR(INDEX('2024ds'!$B$2:$B$368, MATCH($B286, '2024ds'!$A$2:$A$368, 0)), "")</f>
        <v/>
      </c>
      <c r="J286" s="1" t="str">
        <f>IFERROR(INDEX('2024ds'!$C$2:$C$368, MATCH($B286, '2024ds'!$A$2:$A$368, 0)), "")</f>
        <v/>
      </c>
      <c r="K286" s="22" t="str">
        <f>IFERROR(INDEX('2024ds'!$D$2:$D$368, MATCH($B286, '2024ds'!$A$2:$A$368, 0)), "")</f>
        <v/>
      </c>
      <c r="L286" s="21" t="str">
        <f t="shared" si="32"/>
        <v/>
      </c>
      <c r="U286" s="3" t="str">
        <f t="shared" si="33"/>
        <v/>
      </c>
      <c r="V286" s="4" t="str">
        <f t="shared" si="34"/>
        <v/>
      </c>
      <c r="W286" s="4" t="str">
        <f t="shared" si="35"/>
        <v/>
      </c>
      <c r="X286" t="str">
        <f t="shared" si="30"/>
        <v/>
      </c>
    </row>
    <row r="287" spans="3:24">
      <c r="C287" s="12"/>
      <c r="D287" s="1"/>
      <c r="E287" s="1"/>
      <c r="F287" s="1"/>
      <c r="G287" s="11" t="str">
        <f t="shared" si="29"/>
        <v/>
      </c>
      <c r="H287" s="11" t="str">
        <f t="shared" si="31"/>
        <v/>
      </c>
      <c r="I287" s="15" t="str">
        <f>IFERROR(INDEX('2024ds'!$B$2:$B$368, MATCH($B287, '2024ds'!$A$2:$A$368, 0)), "")</f>
        <v/>
      </c>
      <c r="J287" s="1" t="str">
        <f>IFERROR(INDEX('2024ds'!$C$2:$C$368, MATCH($B287, '2024ds'!$A$2:$A$368, 0)), "")</f>
        <v/>
      </c>
      <c r="K287" s="22" t="str">
        <f>IFERROR(INDEX('2024ds'!$D$2:$D$368, MATCH($B287, '2024ds'!$A$2:$A$368, 0)), "")</f>
        <v/>
      </c>
      <c r="L287" s="21" t="str">
        <f t="shared" si="32"/>
        <v/>
      </c>
      <c r="U287" s="3" t="str">
        <f t="shared" si="33"/>
        <v/>
      </c>
      <c r="V287" s="4" t="str">
        <f t="shared" si="34"/>
        <v/>
      </c>
      <c r="W287" s="4" t="str">
        <f t="shared" si="35"/>
        <v/>
      </c>
      <c r="X287" t="str">
        <f t="shared" si="30"/>
        <v/>
      </c>
    </row>
    <row r="288" spans="3:24">
      <c r="C288" s="12"/>
      <c r="D288" s="1"/>
      <c r="E288" s="1"/>
      <c r="F288" s="1"/>
      <c r="G288" s="11" t="str">
        <f t="shared" si="29"/>
        <v/>
      </c>
      <c r="H288" s="11" t="str">
        <f t="shared" si="31"/>
        <v/>
      </c>
      <c r="I288" s="15" t="str">
        <f>IFERROR(INDEX('2024ds'!$B$2:$B$368, MATCH($B288, '2024ds'!$A$2:$A$368, 0)), "")</f>
        <v/>
      </c>
      <c r="J288" s="1" t="str">
        <f>IFERROR(INDEX('2024ds'!$C$2:$C$368, MATCH($B288, '2024ds'!$A$2:$A$368, 0)), "")</f>
        <v/>
      </c>
      <c r="K288" s="22" t="str">
        <f>IFERROR(INDEX('2024ds'!$D$2:$D$368, MATCH($B288, '2024ds'!$A$2:$A$368, 0)), "")</f>
        <v/>
      </c>
      <c r="L288" s="21" t="str">
        <f t="shared" si="32"/>
        <v/>
      </c>
      <c r="U288" s="3" t="str">
        <f t="shared" si="33"/>
        <v/>
      </c>
      <c r="V288" s="4" t="str">
        <f t="shared" si="34"/>
        <v/>
      </c>
      <c r="W288" s="4" t="str">
        <f t="shared" si="35"/>
        <v/>
      </c>
      <c r="X288" t="str">
        <f t="shared" si="30"/>
        <v/>
      </c>
    </row>
    <row r="289" spans="3:24">
      <c r="C289" s="12"/>
      <c r="D289" s="1"/>
      <c r="E289" s="1"/>
      <c r="F289" s="1"/>
      <c r="G289" s="11" t="str">
        <f t="shared" si="29"/>
        <v/>
      </c>
      <c r="H289" s="11" t="str">
        <f t="shared" si="31"/>
        <v/>
      </c>
      <c r="I289" s="15" t="str">
        <f>IFERROR(INDEX('2024ds'!$B$2:$B$368, MATCH($B289, '2024ds'!$A$2:$A$368, 0)), "")</f>
        <v/>
      </c>
      <c r="J289" s="1" t="str">
        <f>IFERROR(INDEX('2024ds'!$C$2:$C$368, MATCH($B289, '2024ds'!$A$2:$A$368, 0)), "")</f>
        <v/>
      </c>
      <c r="K289" s="22" t="str">
        <f>IFERROR(INDEX('2024ds'!$D$2:$D$368, MATCH($B289, '2024ds'!$A$2:$A$368, 0)), "")</f>
        <v/>
      </c>
      <c r="L289" s="21" t="str">
        <f t="shared" si="32"/>
        <v/>
      </c>
      <c r="U289" s="3" t="str">
        <f t="shared" si="33"/>
        <v/>
      </c>
      <c r="V289" s="4" t="str">
        <f t="shared" si="34"/>
        <v/>
      </c>
      <c r="W289" s="4" t="str">
        <f t="shared" si="35"/>
        <v/>
      </c>
      <c r="X289" t="str">
        <f t="shared" si="30"/>
        <v/>
      </c>
    </row>
    <row r="290" spans="3:24">
      <c r="C290" s="12"/>
      <c r="D290" s="1"/>
      <c r="E290" s="1"/>
      <c r="F290" s="1"/>
      <c r="G290" s="11" t="str">
        <f t="shared" si="29"/>
        <v/>
      </c>
      <c r="H290" s="11" t="str">
        <f t="shared" si="31"/>
        <v/>
      </c>
      <c r="I290" s="15" t="str">
        <f>IFERROR(INDEX('2024ds'!$B$2:$B$368, MATCH($B290, '2024ds'!$A$2:$A$368, 0)), "")</f>
        <v/>
      </c>
      <c r="J290" s="1" t="str">
        <f>IFERROR(INDEX('2024ds'!$C$2:$C$368, MATCH($B290, '2024ds'!$A$2:$A$368, 0)), "")</f>
        <v/>
      </c>
      <c r="K290" s="22" t="str">
        <f>IFERROR(INDEX('2024ds'!$D$2:$D$368, MATCH($B290, '2024ds'!$A$2:$A$368, 0)), "")</f>
        <v/>
      </c>
      <c r="L290" s="21" t="str">
        <f t="shared" si="32"/>
        <v/>
      </c>
      <c r="U290" s="3" t="str">
        <f t="shared" si="33"/>
        <v/>
      </c>
      <c r="V290" s="4" t="str">
        <f t="shared" si="34"/>
        <v/>
      </c>
      <c r="W290" s="4" t="str">
        <f t="shared" si="35"/>
        <v/>
      </c>
      <c r="X290" t="str">
        <f t="shared" si="30"/>
        <v/>
      </c>
    </row>
    <row r="291" spans="3:24">
      <c r="C291" s="12"/>
      <c r="D291" s="1"/>
      <c r="E291" s="1"/>
      <c r="F291" s="1"/>
      <c r="G291" s="11" t="str">
        <f t="shared" si="29"/>
        <v/>
      </c>
      <c r="H291" s="11" t="str">
        <f t="shared" si="31"/>
        <v/>
      </c>
      <c r="I291" s="15" t="str">
        <f>IFERROR(INDEX('2024ds'!$B$2:$B$368, MATCH($B291, '2024ds'!$A$2:$A$368, 0)), "")</f>
        <v/>
      </c>
      <c r="J291" s="1" t="str">
        <f>IFERROR(INDEX('2024ds'!$C$2:$C$368, MATCH($B291, '2024ds'!$A$2:$A$368, 0)), "")</f>
        <v/>
      </c>
      <c r="K291" s="22" t="str">
        <f>IFERROR(INDEX('2024ds'!$D$2:$D$368, MATCH($B291, '2024ds'!$A$2:$A$368, 0)), "")</f>
        <v/>
      </c>
      <c r="L291" s="21" t="str">
        <f t="shared" si="32"/>
        <v/>
      </c>
      <c r="U291" s="3" t="str">
        <f t="shared" si="33"/>
        <v/>
      </c>
      <c r="V291" s="4" t="str">
        <f t="shared" si="34"/>
        <v/>
      </c>
      <c r="W291" s="4" t="str">
        <f t="shared" si="35"/>
        <v/>
      </c>
      <c r="X291" t="str">
        <f t="shared" si="30"/>
        <v/>
      </c>
    </row>
    <row r="292" spans="3:24">
      <c r="C292" s="12"/>
      <c r="D292" s="1"/>
      <c r="E292" s="1"/>
      <c r="F292" s="1"/>
      <c r="G292" s="11" t="str">
        <f t="shared" si="29"/>
        <v/>
      </c>
      <c r="H292" s="11" t="str">
        <f t="shared" si="31"/>
        <v/>
      </c>
      <c r="I292" s="15" t="str">
        <f>IFERROR(INDEX('2024ds'!$B$2:$B$368, MATCH($B292, '2024ds'!$A$2:$A$368, 0)), "")</f>
        <v/>
      </c>
      <c r="J292" s="1" t="str">
        <f>IFERROR(INDEX('2024ds'!$C$2:$C$368, MATCH($B292, '2024ds'!$A$2:$A$368, 0)), "")</f>
        <v/>
      </c>
      <c r="K292" s="22" t="str">
        <f>IFERROR(INDEX('2024ds'!$D$2:$D$368, MATCH($B292, '2024ds'!$A$2:$A$368, 0)), "")</f>
        <v/>
      </c>
      <c r="L292" s="21" t="str">
        <f t="shared" si="32"/>
        <v/>
      </c>
      <c r="U292" s="3" t="str">
        <f t="shared" si="33"/>
        <v/>
      </c>
      <c r="V292" s="4" t="str">
        <f t="shared" si="34"/>
        <v/>
      </c>
      <c r="W292" s="4" t="str">
        <f t="shared" si="35"/>
        <v/>
      </c>
      <c r="X292" t="str">
        <f t="shared" si="30"/>
        <v/>
      </c>
    </row>
    <row r="293" spans="3:24">
      <c r="C293" s="12"/>
      <c r="D293" s="1"/>
      <c r="E293" s="1"/>
      <c r="F293" s="1"/>
      <c r="G293" s="11" t="str">
        <f t="shared" si="29"/>
        <v/>
      </c>
      <c r="H293" s="11" t="str">
        <f t="shared" si="31"/>
        <v/>
      </c>
      <c r="I293" s="15" t="str">
        <f>IFERROR(INDEX('2024ds'!$B$2:$B$368, MATCH($B293, '2024ds'!$A$2:$A$368, 0)), "")</f>
        <v/>
      </c>
      <c r="J293" s="1" t="str">
        <f>IFERROR(INDEX('2024ds'!$C$2:$C$368, MATCH($B293, '2024ds'!$A$2:$A$368, 0)), "")</f>
        <v/>
      </c>
      <c r="K293" s="22" t="str">
        <f>IFERROR(INDEX('2024ds'!$D$2:$D$368, MATCH($B293, '2024ds'!$A$2:$A$368, 0)), "")</f>
        <v/>
      </c>
      <c r="L293" s="21" t="str">
        <f t="shared" si="32"/>
        <v/>
      </c>
      <c r="U293" s="3" t="str">
        <f t="shared" si="33"/>
        <v/>
      </c>
      <c r="V293" s="4" t="str">
        <f t="shared" si="34"/>
        <v/>
      </c>
      <c r="W293" s="4" t="str">
        <f t="shared" si="35"/>
        <v/>
      </c>
      <c r="X293" t="str">
        <f t="shared" si="30"/>
        <v/>
      </c>
    </row>
    <row r="294" spans="3:24">
      <c r="C294" s="12"/>
      <c r="D294" s="1"/>
      <c r="E294" s="1"/>
      <c r="F294" s="1"/>
      <c r="G294" s="11" t="str">
        <f t="shared" si="29"/>
        <v/>
      </c>
      <c r="H294" s="11" t="str">
        <f t="shared" si="31"/>
        <v/>
      </c>
      <c r="I294" s="15" t="str">
        <f>IFERROR(INDEX('2024ds'!$B$2:$B$368, MATCH($B294, '2024ds'!$A$2:$A$368, 0)), "")</f>
        <v/>
      </c>
      <c r="J294" s="1" t="str">
        <f>IFERROR(INDEX('2024ds'!$C$2:$C$368, MATCH($B294, '2024ds'!$A$2:$A$368, 0)), "")</f>
        <v/>
      </c>
      <c r="K294" s="22" t="str">
        <f>IFERROR(INDEX('2024ds'!$D$2:$D$368, MATCH($B294, '2024ds'!$A$2:$A$368, 0)), "")</f>
        <v/>
      </c>
      <c r="L294" s="21" t="str">
        <f t="shared" si="32"/>
        <v/>
      </c>
      <c r="U294" s="3" t="str">
        <f t="shared" si="33"/>
        <v/>
      </c>
      <c r="V294" s="4" t="str">
        <f t="shared" si="34"/>
        <v/>
      </c>
      <c r="W294" s="4" t="str">
        <f t="shared" si="35"/>
        <v/>
      </c>
      <c r="X294" t="str">
        <f t="shared" si="30"/>
        <v/>
      </c>
    </row>
    <row r="295" spans="3:24">
      <c r="C295" s="12"/>
      <c r="D295" s="1"/>
      <c r="E295" s="1"/>
      <c r="F295" s="1"/>
      <c r="G295" s="11" t="str">
        <f t="shared" si="29"/>
        <v/>
      </c>
      <c r="H295" s="11" t="str">
        <f t="shared" si="31"/>
        <v/>
      </c>
      <c r="I295" s="15" t="str">
        <f>IFERROR(INDEX('2024ds'!$B$2:$B$368, MATCH($B295, '2024ds'!$A$2:$A$368, 0)), "")</f>
        <v/>
      </c>
      <c r="J295" s="1" t="str">
        <f>IFERROR(INDEX('2024ds'!$C$2:$C$368, MATCH($B295, '2024ds'!$A$2:$A$368, 0)), "")</f>
        <v/>
      </c>
      <c r="K295" s="22" t="str">
        <f>IFERROR(INDEX('2024ds'!$D$2:$D$368, MATCH($B295, '2024ds'!$A$2:$A$368, 0)), "")</f>
        <v/>
      </c>
      <c r="L295" s="21" t="str">
        <f t="shared" si="32"/>
        <v/>
      </c>
      <c r="U295" s="3" t="str">
        <f t="shared" si="33"/>
        <v/>
      </c>
      <c r="V295" s="4" t="str">
        <f t="shared" si="34"/>
        <v/>
      </c>
      <c r="W295" s="4" t="str">
        <f t="shared" si="35"/>
        <v/>
      </c>
      <c r="X295" t="str">
        <f t="shared" si="30"/>
        <v/>
      </c>
    </row>
    <row r="296" spans="3:24">
      <c r="C296" s="12"/>
      <c r="D296" s="1"/>
      <c r="E296" s="1"/>
      <c r="F296" s="1"/>
      <c r="G296" s="11" t="str">
        <f t="shared" si="29"/>
        <v/>
      </c>
      <c r="H296" s="11" t="str">
        <f t="shared" si="31"/>
        <v/>
      </c>
      <c r="I296" s="15" t="str">
        <f>IFERROR(INDEX('2024ds'!$B$2:$B$368, MATCH($B296, '2024ds'!$A$2:$A$368, 0)), "")</f>
        <v/>
      </c>
      <c r="J296" s="1" t="str">
        <f>IFERROR(INDEX('2024ds'!$C$2:$C$368, MATCH($B296, '2024ds'!$A$2:$A$368, 0)), "")</f>
        <v/>
      </c>
      <c r="K296" s="22" t="str">
        <f>IFERROR(INDEX('2024ds'!$D$2:$D$368, MATCH($B296, '2024ds'!$A$2:$A$368, 0)), "")</f>
        <v/>
      </c>
      <c r="L296" s="21" t="str">
        <f t="shared" si="32"/>
        <v/>
      </c>
      <c r="U296" s="3" t="str">
        <f t="shared" si="33"/>
        <v/>
      </c>
      <c r="V296" s="4" t="str">
        <f t="shared" si="34"/>
        <v/>
      </c>
      <c r="W296" s="4" t="str">
        <f t="shared" si="35"/>
        <v/>
      </c>
      <c r="X296" t="str">
        <f t="shared" si="30"/>
        <v/>
      </c>
    </row>
    <row r="297" spans="3:24">
      <c r="C297" s="12"/>
      <c r="D297" s="1"/>
      <c r="E297" s="1"/>
      <c r="F297" s="1"/>
      <c r="G297" s="11" t="str">
        <f t="shared" si="29"/>
        <v/>
      </c>
      <c r="H297" s="11" t="str">
        <f t="shared" si="31"/>
        <v/>
      </c>
      <c r="I297" s="15" t="str">
        <f>IFERROR(INDEX('2024ds'!$B$2:$B$368, MATCH($B297, '2024ds'!$A$2:$A$368, 0)), "")</f>
        <v/>
      </c>
      <c r="J297" s="1" t="str">
        <f>IFERROR(INDEX('2024ds'!$C$2:$C$368, MATCH($B297, '2024ds'!$A$2:$A$368, 0)), "")</f>
        <v/>
      </c>
      <c r="K297" s="22" t="str">
        <f>IFERROR(INDEX('2024ds'!$D$2:$D$368, MATCH($B297, '2024ds'!$A$2:$A$368, 0)), "")</f>
        <v/>
      </c>
      <c r="L297" s="21" t="str">
        <f t="shared" si="32"/>
        <v/>
      </c>
      <c r="U297" s="3" t="str">
        <f t="shared" si="33"/>
        <v/>
      </c>
      <c r="V297" s="4" t="str">
        <f t="shared" si="34"/>
        <v/>
      </c>
      <c r="W297" s="4" t="str">
        <f t="shared" si="35"/>
        <v/>
      </c>
      <c r="X297" t="str">
        <f t="shared" si="30"/>
        <v/>
      </c>
    </row>
    <row r="298" spans="3:24">
      <c r="C298" s="12"/>
      <c r="D298" s="1"/>
      <c r="E298" s="1"/>
      <c r="F298" s="1"/>
      <c r="G298" s="11" t="str">
        <f t="shared" si="29"/>
        <v/>
      </c>
      <c r="H298" s="11" t="str">
        <f t="shared" si="31"/>
        <v/>
      </c>
      <c r="I298" s="15" t="str">
        <f>IFERROR(INDEX('2024ds'!$B$2:$B$368, MATCH($B298, '2024ds'!$A$2:$A$368, 0)), "")</f>
        <v/>
      </c>
      <c r="J298" s="1" t="str">
        <f>IFERROR(INDEX('2024ds'!$C$2:$C$368, MATCH($B298, '2024ds'!$A$2:$A$368, 0)), "")</f>
        <v/>
      </c>
      <c r="K298" s="22" t="str">
        <f>IFERROR(INDEX('2024ds'!$D$2:$D$368, MATCH($B298, '2024ds'!$A$2:$A$368, 0)), "")</f>
        <v/>
      </c>
      <c r="L298" s="21" t="str">
        <f t="shared" si="32"/>
        <v/>
      </c>
      <c r="U298" s="3" t="str">
        <f t="shared" si="33"/>
        <v/>
      </c>
      <c r="V298" s="4" t="str">
        <f t="shared" si="34"/>
        <v/>
      </c>
      <c r="W298" s="4" t="str">
        <f t="shared" si="35"/>
        <v/>
      </c>
      <c r="X298" t="str">
        <f t="shared" si="30"/>
        <v/>
      </c>
    </row>
    <row r="299" spans="3:24">
      <c r="C299" s="12"/>
      <c r="D299" s="1"/>
      <c r="E299" s="1"/>
      <c r="F299" s="1"/>
      <c r="G299" s="11" t="str">
        <f t="shared" si="29"/>
        <v/>
      </c>
      <c r="H299" s="11" t="str">
        <f t="shared" si="31"/>
        <v/>
      </c>
      <c r="I299" s="15" t="str">
        <f>IFERROR(INDEX('2024ds'!$B$2:$B$368, MATCH($B299, '2024ds'!$A$2:$A$368, 0)), "")</f>
        <v/>
      </c>
      <c r="J299" s="1" t="str">
        <f>IFERROR(INDEX('2024ds'!$C$2:$C$368, MATCH($B299, '2024ds'!$A$2:$A$368, 0)), "")</f>
        <v/>
      </c>
      <c r="K299" s="22" t="str">
        <f>IFERROR(INDEX('2024ds'!$D$2:$D$368, MATCH($B299, '2024ds'!$A$2:$A$368, 0)), "")</f>
        <v/>
      </c>
      <c r="L299" s="21" t="str">
        <f t="shared" si="32"/>
        <v/>
      </c>
      <c r="U299" s="3" t="str">
        <f t="shared" si="33"/>
        <v/>
      </c>
      <c r="V299" s="4" t="str">
        <f t="shared" si="34"/>
        <v/>
      </c>
      <c r="W299" s="4" t="str">
        <f t="shared" si="35"/>
        <v/>
      </c>
      <c r="X299" t="str">
        <f t="shared" si="30"/>
        <v/>
      </c>
    </row>
    <row r="300" spans="3:24">
      <c r="C300" s="12"/>
      <c r="D300" s="1"/>
      <c r="E300" s="1"/>
      <c r="F300" s="1"/>
      <c r="G300" s="11" t="str">
        <f t="shared" si="29"/>
        <v/>
      </c>
      <c r="H300" s="11" t="str">
        <f t="shared" si="31"/>
        <v/>
      </c>
      <c r="I300" s="15" t="str">
        <f>IFERROR(INDEX('2024ds'!$B$2:$B$368, MATCH($B300, '2024ds'!$A$2:$A$368, 0)), "")</f>
        <v/>
      </c>
      <c r="J300" s="1" t="str">
        <f>IFERROR(INDEX('2024ds'!$C$2:$C$368, MATCH($B300, '2024ds'!$A$2:$A$368, 0)), "")</f>
        <v/>
      </c>
      <c r="K300" s="22" t="str">
        <f>IFERROR(INDEX('2024ds'!$D$2:$D$368, MATCH($B300, '2024ds'!$A$2:$A$368, 0)), "")</f>
        <v/>
      </c>
      <c r="L300" s="21" t="str">
        <f t="shared" si="32"/>
        <v/>
      </c>
      <c r="U300" s="3" t="str">
        <f t="shared" si="33"/>
        <v/>
      </c>
      <c r="V300" s="4" t="str">
        <f t="shared" si="34"/>
        <v/>
      </c>
      <c r="W300" s="4" t="str">
        <f t="shared" si="35"/>
        <v/>
      </c>
      <c r="X300" t="str">
        <f t="shared" si="30"/>
        <v/>
      </c>
    </row>
    <row r="301" spans="3:24">
      <c r="C301" s="12"/>
      <c r="D301" s="1"/>
      <c r="E301" s="1"/>
      <c r="F301" s="1"/>
      <c r="G301" s="11" t="str">
        <f t="shared" si="29"/>
        <v/>
      </c>
      <c r="H301" s="11" t="str">
        <f t="shared" si="31"/>
        <v/>
      </c>
      <c r="I301" s="15" t="str">
        <f>IFERROR(INDEX('2024ds'!$B$2:$B$368, MATCH($B301, '2024ds'!$A$2:$A$368, 0)), "")</f>
        <v/>
      </c>
      <c r="J301" s="1" t="str">
        <f>IFERROR(INDEX('2024ds'!$C$2:$C$368, MATCH($B301, '2024ds'!$A$2:$A$368, 0)), "")</f>
        <v/>
      </c>
      <c r="K301" s="22" t="str">
        <f>IFERROR(INDEX('2024ds'!$D$2:$D$368, MATCH($B301, '2024ds'!$A$2:$A$368, 0)), "")</f>
        <v/>
      </c>
      <c r="L301" s="21" t="str">
        <f t="shared" si="32"/>
        <v/>
      </c>
      <c r="U301" s="3" t="str">
        <f t="shared" si="33"/>
        <v/>
      </c>
      <c r="V301" s="4" t="str">
        <f t="shared" si="34"/>
        <v/>
      </c>
      <c r="W301" s="4" t="str">
        <f t="shared" si="35"/>
        <v/>
      </c>
      <c r="X301" t="str">
        <f t="shared" si="30"/>
        <v/>
      </c>
    </row>
    <row r="302" spans="3:24">
      <c r="C302" s="12"/>
      <c r="D302" s="1"/>
      <c r="E302" s="1"/>
      <c r="F302" s="1"/>
      <c r="G302" s="11" t="str">
        <f t="shared" si="29"/>
        <v/>
      </c>
      <c r="H302" s="11" t="str">
        <f t="shared" si="31"/>
        <v/>
      </c>
      <c r="I302" s="15" t="str">
        <f>IFERROR(INDEX('2024ds'!$B$2:$B$368, MATCH($B302, '2024ds'!$A$2:$A$368, 0)), "")</f>
        <v/>
      </c>
      <c r="J302" s="1" t="str">
        <f>IFERROR(INDEX('2024ds'!$C$2:$C$368, MATCH($B302, '2024ds'!$A$2:$A$368, 0)), "")</f>
        <v/>
      </c>
      <c r="K302" s="22" t="str">
        <f>IFERROR(INDEX('2024ds'!$D$2:$D$368, MATCH($B302, '2024ds'!$A$2:$A$368, 0)), "")</f>
        <v/>
      </c>
      <c r="L302" s="21" t="str">
        <f t="shared" si="32"/>
        <v/>
      </c>
      <c r="U302" s="3" t="str">
        <f t="shared" si="33"/>
        <v/>
      </c>
      <c r="V302" s="4" t="str">
        <f t="shared" si="34"/>
        <v/>
      </c>
      <c r="W302" s="4" t="str">
        <f t="shared" si="35"/>
        <v/>
      </c>
      <c r="X302" t="str">
        <f t="shared" si="30"/>
        <v/>
      </c>
    </row>
    <row r="303" spans="3:24">
      <c r="C303" s="12"/>
      <c r="D303" s="1"/>
      <c r="E303" s="1"/>
      <c r="F303" s="1"/>
      <c r="G303" s="11" t="str">
        <f t="shared" si="29"/>
        <v/>
      </c>
      <c r="H303" s="11" t="str">
        <f t="shared" si="31"/>
        <v/>
      </c>
      <c r="I303" s="15" t="str">
        <f>IFERROR(INDEX('2024ds'!$B$2:$B$368, MATCH($B303, '2024ds'!$A$2:$A$368, 0)), "")</f>
        <v/>
      </c>
      <c r="J303" s="1" t="str">
        <f>IFERROR(INDEX('2024ds'!$C$2:$C$368, MATCH($B303, '2024ds'!$A$2:$A$368, 0)), "")</f>
        <v/>
      </c>
      <c r="K303" s="22" t="str">
        <f>IFERROR(INDEX('2024ds'!$D$2:$D$368, MATCH($B303, '2024ds'!$A$2:$A$368, 0)), "")</f>
        <v/>
      </c>
      <c r="L303" s="21" t="str">
        <f t="shared" si="32"/>
        <v/>
      </c>
      <c r="U303" s="3" t="str">
        <f t="shared" si="33"/>
        <v/>
      </c>
      <c r="V303" s="4" t="str">
        <f t="shared" si="34"/>
        <v/>
      </c>
      <c r="W303" s="4" t="str">
        <f t="shared" si="35"/>
        <v/>
      </c>
      <c r="X303" t="str">
        <f t="shared" si="30"/>
        <v/>
      </c>
    </row>
    <row r="304" spans="3:24">
      <c r="C304" s="12"/>
      <c r="D304" s="1"/>
      <c r="E304" s="1"/>
      <c r="F304" s="1"/>
      <c r="G304" s="11" t="str">
        <f t="shared" si="29"/>
        <v/>
      </c>
      <c r="H304" s="11" t="str">
        <f t="shared" si="31"/>
        <v/>
      </c>
      <c r="I304" s="15" t="str">
        <f>IFERROR(INDEX('2024ds'!$B$2:$B$368, MATCH($B304, '2024ds'!$A$2:$A$368, 0)), "")</f>
        <v/>
      </c>
      <c r="J304" s="1" t="str">
        <f>IFERROR(INDEX('2024ds'!$C$2:$C$368, MATCH($B304, '2024ds'!$A$2:$A$368, 0)), "")</f>
        <v/>
      </c>
      <c r="K304" s="22" t="str">
        <f>IFERROR(INDEX('2024ds'!$D$2:$D$368, MATCH($B304, '2024ds'!$A$2:$A$368, 0)), "")</f>
        <v/>
      </c>
      <c r="L304" s="21" t="str">
        <f t="shared" si="32"/>
        <v/>
      </c>
      <c r="U304" s="3" t="str">
        <f t="shared" si="33"/>
        <v/>
      </c>
      <c r="V304" s="4" t="str">
        <f t="shared" si="34"/>
        <v/>
      </c>
      <c r="W304" s="4" t="str">
        <f t="shared" si="35"/>
        <v/>
      </c>
      <c r="X304" t="str">
        <f t="shared" si="30"/>
        <v/>
      </c>
    </row>
    <row r="305" spans="3:24">
      <c r="C305" s="12"/>
      <c r="D305" s="1"/>
      <c r="E305" s="1"/>
      <c r="F305" s="1"/>
      <c r="G305" s="11" t="str">
        <f t="shared" si="29"/>
        <v/>
      </c>
      <c r="H305" s="11" t="str">
        <f t="shared" si="31"/>
        <v/>
      </c>
      <c r="I305" s="15" t="str">
        <f>IFERROR(INDEX('2024ds'!$B$2:$B$368, MATCH($B305, '2024ds'!$A$2:$A$368, 0)), "")</f>
        <v/>
      </c>
      <c r="J305" s="1" t="str">
        <f>IFERROR(INDEX('2024ds'!$C$2:$C$368, MATCH($B305, '2024ds'!$A$2:$A$368, 0)), "")</f>
        <v/>
      </c>
      <c r="K305" s="22" t="str">
        <f>IFERROR(INDEX('2024ds'!$D$2:$D$368, MATCH($B305, '2024ds'!$A$2:$A$368, 0)), "")</f>
        <v/>
      </c>
      <c r="L305" s="21" t="str">
        <f t="shared" si="32"/>
        <v/>
      </c>
      <c r="U305" s="3" t="str">
        <f t="shared" si="33"/>
        <v/>
      </c>
      <c r="V305" s="4" t="str">
        <f t="shared" si="34"/>
        <v/>
      </c>
      <c r="W305" s="4" t="str">
        <f t="shared" si="35"/>
        <v/>
      </c>
      <c r="X305" t="str">
        <f t="shared" si="30"/>
        <v/>
      </c>
    </row>
    <row r="306" spans="3:24">
      <c r="C306" s="12"/>
      <c r="D306" s="1"/>
      <c r="E306" s="1"/>
      <c r="F306" s="1"/>
      <c r="G306" s="11" t="str">
        <f t="shared" si="29"/>
        <v/>
      </c>
      <c r="H306" s="11" t="str">
        <f t="shared" si="31"/>
        <v/>
      </c>
      <c r="I306" s="15" t="str">
        <f>IFERROR(INDEX('2024ds'!$B$2:$B$368, MATCH($B306, '2024ds'!$A$2:$A$368, 0)), "")</f>
        <v/>
      </c>
      <c r="J306" s="1" t="str">
        <f>IFERROR(INDEX('2024ds'!$C$2:$C$368, MATCH($B306, '2024ds'!$A$2:$A$368, 0)), "")</f>
        <v/>
      </c>
      <c r="K306" s="22" t="str">
        <f>IFERROR(INDEX('2024ds'!$D$2:$D$368, MATCH($B306, '2024ds'!$A$2:$A$368, 0)), "")</f>
        <v/>
      </c>
      <c r="L306" s="21" t="str">
        <f t="shared" si="32"/>
        <v/>
      </c>
      <c r="U306" s="3" t="str">
        <f t="shared" si="33"/>
        <v/>
      </c>
      <c r="V306" s="4" t="str">
        <f t="shared" si="34"/>
        <v/>
      </c>
      <c r="W306" s="4" t="str">
        <f t="shared" si="35"/>
        <v/>
      </c>
      <c r="X306" t="str">
        <f t="shared" si="30"/>
        <v/>
      </c>
    </row>
    <row r="307" spans="3:24">
      <c r="C307" s="12"/>
      <c r="D307" s="1"/>
      <c r="E307" s="1"/>
      <c r="F307" s="1"/>
      <c r="G307" s="11" t="str">
        <f t="shared" si="29"/>
        <v/>
      </c>
      <c r="H307" s="11" t="str">
        <f t="shared" si="31"/>
        <v/>
      </c>
      <c r="I307" s="15" t="str">
        <f>IFERROR(INDEX('2024ds'!$B$2:$B$368, MATCH($B307, '2024ds'!$A$2:$A$368, 0)), "")</f>
        <v/>
      </c>
      <c r="J307" s="1" t="str">
        <f>IFERROR(INDEX('2024ds'!$C$2:$C$368, MATCH($B307, '2024ds'!$A$2:$A$368, 0)), "")</f>
        <v/>
      </c>
      <c r="K307" s="22" t="str">
        <f>IFERROR(INDEX('2024ds'!$D$2:$D$368, MATCH($B307, '2024ds'!$A$2:$A$368, 0)), "")</f>
        <v/>
      </c>
      <c r="L307" s="21" t="str">
        <f t="shared" si="32"/>
        <v/>
      </c>
      <c r="U307" s="3" t="str">
        <f t="shared" si="33"/>
        <v/>
      </c>
      <c r="V307" s="4" t="str">
        <f t="shared" si="34"/>
        <v/>
      </c>
      <c r="W307" s="4" t="str">
        <f t="shared" si="35"/>
        <v/>
      </c>
      <c r="X307" t="str">
        <f t="shared" si="30"/>
        <v/>
      </c>
    </row>
    <row r="308" spans="3:24">
      <c r="C308" s="12"/>
      <c r="D308" s="1"/>
      <c r="E308" s="1"/>
      <c r="F308" s="1"/>
      <c r="G308" s="11" t="str">
        <f t="shared" si="29"/>
        <v/>
      </c>
      <c r="H308" s="11" t="str">
        <f t="shared" si="31"/>
        <v/>
      </c>
      <c r="I308" s="15" t="str">
        <f>IFERROR(INDEX('2024ds'!$B$2:$B$368, MATCH($B308, '2024ds'!$A$2:$A$368, 0)), "")</f>
        <v/>
      </c>
      <c r="J308" s="1" t="str">
        <f>IFERROR(INDEX('2024ds'!$C$2:$C$368, MATCH($B308, '2024ds'!$A$2:$A$368, 0)), "")</f>
        <v/>
      </c>
      <c r="K308" s="22" t="str">
        <f>IFERROR(INDEX('2024ds'!$D$2:$D$368, MATCH($B308, '2024ds'!$A$2:$A$368, 0)), "")</f>
        <v/>
      </c>
      <c r="L308" s="21" t="str">
        <f t="shared" si="32"/>
        <v/>
      </c>
      <c r="U308" s="3" t="str">
        <f t="shared" si="33"/>
        <v/>
      </c>
      <c r="V308" s="4" t="str">
        <f t="shared" si="34"/>
        <v/>
      </c>
      <c r="W308" s="4" t="str">
        <f t="shared" si="35"/>
        <v/>
      </c>
      <c r="X308" t="str">
        <f t="shared" si="30"/>
        <v/>
      </c>
    </row>
    <row r="309" spans="3:24">
      <c r="C309" s="12"/>
      <c r="D309" s="1"/>
      <c r="E309" s="1"/>
      <c r="F309" s="1"/>
      <c r="G309" s="11" t="str">
        <f t="shared" si="29"/>
        <v/>
      </c>
      <c r="H309" s="11" t="str">
        <f t="shared" si="31"/>
        <v/>
      </c>
      <c r="I309" s="15" t="str">
        <f>IFERROR(INDEX('2024ds'!$B$2:$B$368, MATCH($B309, '2024ds'!$A$2:$A$368, 0)), "")</f>
        <v/>
      </c>
      <c r="J309" s="1" t="str">
        <f>IFERROR(INDEX('2024ds'!$C$2:$C$368, MATCH($B309, '2024ds'!$A$2:$A$368, 0)), "")</f>
        <v/>
      </c>
      <c r="K309" s="22" t="str">
        <f>IFERROR(INDEX('2024ds'!$D$2:$D$368, MATCH($B309, '2024ds'!$A$2:$A$368, 0)), "")</f>
        <v/>
      </c>
      <c r="L309" s="21" t="str">
        <f t="shared" si="32"/>
        <v/>
      </c>
      <c r="U309" s="3" t="str">
        <f t="shared" si="33"/>
        <v/>
      </c>
      <c r="V309" s="4" t="str">
        <f t="shared" si="34"/>
        <v/>
      </c>
      <c r="W309" s="4" t="str">
        <f t="shared" si="35"/>
        <v/>
      </c>
      <c r="X309" t="str">
        <f t="shared" si="30"/>
        <v/>
      </c>
    </row>
    <row r="310" spans="3:24">
      <c r="C310" s="12"/>
      <c r="D310" s="1"/>
      <c r="E310" s="1"/>
      <c r="F310" s="1"/>
      <c r="G310" s="11" t="str">
        <f t="shared" si="29"/>
        <v/>
      </c>
      <c r="H310" s="11" t="str">
        <f t="shared" si="31"/>
        <v/>
      </c>
      <c r="I310" s="15" t="str">
        <f>IFERROR(INDEX('2024ds'!$B$2:$B$368, MATCH($B310, '2024ds'!$A$2:$A$368, 0)), "")</f>
        <v/>
      </c>
      <c r="J310" s="1" t="str">
        <f>IFERROR(INDEX('2024ds'!$C$2:$C$368, MATCH($B310, '2024ds'!$A$2:$A$368, 0)), "")</f>
        <v/>
      </c>
      <c r="K310" s="22" t="str">
        <f>IFERROR(INDEX('2024ds'!$D$2:$D$368, MATCH($B310, '2024ds'!$A$2:$A$368, 0)), "")</f>
        <v/>
      </c>
      <c r="L310" s="21" t="str">
        <f t="shared" si="32"/>
        <v/>
      </c>
      <c r="U310" s="3" t="str">
        <f t="shared" si="33"/>
        <v/>
      </c>
      <c r="V310" s="4" t="str">
        <f t="shared" si="34"/>
        <v/>
      </c>
      <c r="W310" s="4" t="str">
        <f t="shared" si="35"/>
        <v/>
      </c>
      <c r="X310" t="str">
        <f t="shared" si="30"/>
        <v/>
      </c>
    </row>
    <row r="311" spans="3:24">
      <c r="C311" s="12"/>
      <c r="D311" s="1"/>
      <c r="E311" s="1"/>
      <c r="F311" s="1"/>
      <c r="G311" s="11" t="str">
        <f t="shared" si="29"/>
        <v/>
      </c>
      <c r="H311" s="11" t="str">
        <f t="shared" si="31"/>
        <v/>
      </c>
      <c r="I311" s="15" t="str">
        <f>IFERROR(INDEX('2024ds'!$B$2:$B$368, MATCH($B311, '2024ds'!$A$2:$A$368, 0)), "")</f>
        <v/>
      </c>
      <c r="J311" s="1" t="str">
        <f>IFERROR(INDEX('2024ds'!$C$2:$C$368, MATCH($B311, '2024ds'!$A$2:$A$368, 0)), "")</f>
        <v/>
      </c>
      <c r="K311" s="22" t="str">
        <f>IFERROR(INDEX('2024ds'!$D$2:$D$368, MATCH($B311, '2024ds'!$A$2:$A$368, 0)), "")</f>
        <v/>
      </c>
      <c r="L311" s="21" t="str">
        <f t="shared" si="32"/>
        <v/>
      </c>
      <c r="U311" s="3" t="str">
        <f t="shared" si="33"/>
        <v/>
      </c>
      <c r="V311" s="4" t="str">
        <f t="shared" si="34"/>
        <v/>
      </c>
      <c r="W311" s="4" t="str">
        <f t="shared" si="35"/>
        <v/>
      </c>
      <c r="X311" t="str">
        <f t="shared" si="30"/>
        <v/>
      </c>
    </row>
    <row r="312" spans="3:24">
      <c r="C312" s="12"/>
      <c r="D312" s="1"/>
      <c r="E312" s="1"/>
      <c r="F312" s="1"/>
      <c r="G312" s="11" t="str">
        <f t="shared" si="29"/>
        <v/>
      </c>
      <c r="H312" s="11" t="str">
        <f t="shared" si="31"/>
        <v/>
      </c>
      <c r="I312" s="15" t="str">
        <f>IFERROR(INDEX('2024ds'!$B$2:$B$368, MATCH($B312, '2024ds'!$A$2:$A$368, 0)), "")</f>
        <v/>
      </c>
      <c r="J312" s="1" t="str">
        <f>IFERROR(INDEX('2024ds'!$C$2:$C$368, MATCH($B312, '2024ds'!$A$2:$A$368, 0)), "")</f>
        <v/>
      </c>
      <c r="K312" s="22" t="str">
        <f>IFERROR(INDEX('2024ds'!$D$2:$D$368, MATCH($B312, '2024ds'!$A$2:$A$368, 0)), "")</f>
        <v/>
      </c>
      <c r="L312" s="21" t="str">
        <f t="shared" si="32"/>
        <v/>
      </c>
      <c r="U312" s="3" t="str">
        <f t="shared" si="33"/>
        <v/>
      </c>
      <c r="V312" s="4" t="str">
        <f t="shared" si="34"/>
        <v/>
      </c>
      <c r="W312" s="4" t="str">
        <f t="shared" si="35"/>
        <v/>
      </c>
      <c r="X312" t="str">
        <f t="shared" si="30"/>
        <v/>
      </c>
    </row>
    <row r="313" spans="3:24">
      <c r="C313" s="12"/>
      <c r="D313" s="1"/>
      <c r="E313" s="1"/>
      <c r="F313" s="1"/>
      <c r="G313" s="11" t="str">
        <f t="shared" si="29"/>
        <v/>
      </c>
      <c r="H313" s="11" t="str">
        <f t="shared" si="31"/>
        <v/>
      </c>
      <c r="I313" s="15" t="str">
        <f>IFERROR(INDEX('2024ds'!$B$2:$B$368, MATCH($B313, '2024ds'!$A$2:$A$368, 0)), "")</f>
        <v/>
      </c>
      <c r="J313" s="1" t="str">
        <f>IFERROR(INDEX('2024ds'!$C$2:$C$368, MATCH($B313, '2024ds'!$A$2:$A$368, 0)), "")</f>
        <v/>
      </c>
      <c r="K313" s="22" t="str">
        <f>IFERROR(INDEX('2024ds'!$D$2:$D$368, MATCH($B313, '2024ds'!$A$2:$A$368, 0)), "")</f>
        <v/>
      </c>
      <c r="L313" s="21" t="str">
        <f t="shared" si="32"/>
        <v/>
      </c>
      <c r="U313" s="3" t="str">
        <f t="shared" si="33"/>
        <v/>
      </c>
      <c r="V313" s="4" t="str">
        <f t="shared" si="34"/>
        <v/>
      </c>
      <c r="W313" s="4" t="str">
        <f t="shared" si="35"/>
        <v/>
      </c>
      <c r="X313" t="str">
        <f t="shared" si="30"/>
        <v/>
      </c>
    </row>
    <row r="314" spans="3:24">
      <c r="C314" s="12"/>
      <c r="D314" s="1"/>
      <c r="E314" s="1"/>
      <c r="F314" s="1"/>
      <c r="G314" s="11" t="str">
        <f t="shared" si="29"/>
        <v/>
      </c>
      <c r="H314" s="11" t="str">
        <f t="shared" si="31"/>
        <v/>
      </c>
      <c r="I314" s="15" t="str">
        <f>IFERROR(INDEX('2024ds'!$B$2:$B$368, MATCH($B314, '2024ds'!$A$2:$A$368, 0)), "")</f>
        <v/>
      </c>
      <c r="J314" s="1" t="str">
        <f>IFERROR(INDEX('2024ds'!$C$2:$C$368, MATCH($B314, '2024ds'!$A$2:$A$368, 0)), "")</f>
        <v/>
      </c>
      <c r="K314" s="22" t="str">
        <f>IFERROR(INDEX('2024ds'!$D$2:$D$368, MATCH($B314, '2024ds'!$A$2:$A$368, 0)), "")</f>
        <v/>
      </c>
      <c r="L314" s="21" t="str">
        <f t="shared" si="32"/>
        <v/>
      </c>
      <c r="U314" s="3" t="str">
        <f t="shared" si="33"/>
        <v/>
      </c>
      <c r="V314" s="4" t="str">
        <f t="shared" si="34"/>
        <v/>
      </c>
      <c r="W314" s="4" t="str">
        <f t="shared" si="35"/>
        <v/>
      </c>
      <c r="X314" t="str">
        <f t="shared" si="30"/>
        <v/>
      </c>
    </row>
    <row r="315" spans="3:24">
      <c r="C315" s="12"/>
      <c r="D315" s="1"/>
      <c r="E315" s="1"/>
      <c r="F315" s="1"/>
      <c r="G315" s="11" t="str">
        <f t="shared" si="29"/>
        <v/>
      </c>
      <c r="H315" s="11" t="str">
        <f t="shared" si="31"/>
        <v/>
      </c>
      <c r="I315" s="15" t="str">
        <f>IFERROR(INDEX('2024ds'!$B$2:$B$368, MATCH($B315, '2024ds'!$A$2:$A$368, 0)), "")</f>
        <v/>
      </c>
      <c r="J315" s="1" t="str">
        <f>IFERROR(INDEX('2024ds'!$C$2:$C$368, MATCH($B315, '2024ds'!$A$2:$A$368, 0)), "")</f>
        <v/>
      </c>
      <c r="K315" s="22" t="str">
        <f>IFERROR(INDEX('2024ds'!$D$2:$D$368, MATCH($B315, '2024ds'!$A$2:$A$368, 0)), "")</f>
        <v/>
      </c>
      <c r="L315" s="21" t="str">
        <f t="shared" si="32"/>
        <v/>
      </c>
      <c r="U315" s="3" t="str">
        <f t="shared" si="33"/>
        <v/>
      </c>
      <c r="V315" s="4" t="str">
        <f t="shared" si="34"/>
        <v/>
      </c>
      <c r="W315" s="4" t="str">
        <f t="shared" si="35"/>
        <v/>
      </c>
      <c r="X315" t="str">
        <f t="shared" si="30"/>
        <v/>
      </c>
    </row>
    <row r="316" spans="3:24">
      <c r="C316" s="12"/>
      <c r="D316" s="1"/>
      <c r="E316" s="1"/>
      <c r="F316" s="1"/>
      <c r="G316" s="11" t="str">
        <f t="shared" si="29"/>
        <v/>
      </c>
      <c r="H316" s="11" t="str">
        <f t="shared" si="31"/>
        <v/>
      </c>
      <c r="I316" s="15" t="str">
        <f>IFERROR(INDEX('2024ds'!$B$2:$B$368, MATCH($B316, '2024ds'!$A$2:$A$368, 0)), "")</f>
        <v/>
      </c>
      <c r="J316" s="1" t="str">
        <f>IFERROR(INDEX('2024ds'!$C$2:$C$368, MATCH($B316, '2024ds'!$A$2:$A$368, 0)), "")</f>
        <v/>
      </c>
      <c r="K316" s="22" t="str">
        <f>IFERROR(INDEX('2024ds'!$D$2:$D$368, MATCH($B316, '2024ds'!$A$2:$A$368, 0)), "")</f>
        <v/>
      </c>
      <c r="L316" s="21" t="str">
        <f t="shared" si="32"/>
        <v/>
      </c>
      <c r="U316" s="3" t="str">
        <f t="shared" si="33"/>
        <v/>
      </c>
      <c r="V316" s="4" t="str">
        <f t="shared" si="34"/>
        <v/>
      </c>
      <c r="W316" s="4" t="str">
        <f t="shared" si="35"/>
        <v/>
      </c>
      <c r="X316" t="str">
        <f t="shared" si="30"/>
        <v/>
      </c>
    </row>
    <row r="317" spans="3:24">
      <c r="C317" s="12"/>
      <c r="D317" s="1"/>
      <c r="E317" s="1"/>
      <c r="F317" s="1"/>
      <c r="G317" s="11" t="str">
        <f t="shared" si="29"/>
        <v/>
      </c>
      <c r="H317" s="11" t="str">
        <f t="shared" si="31"/>
        <v/>
      </c>
      <c r="I317" s="15" t="str">
        <f>IFERROR(INDEX('2024ds'!$B$2:$B$368, MATCH($B317, '2024ds'!$A$2:$A$368, 0)), "")</f>
        <v/>
      </c>
      <c r="J317" s="1" t="str">
        <f>IFERROR(INDEX('2024ds'!$C$2:$C$368, MATCH($B317, '2024ds'!$A$2:$A$368, 0)), "")</f>
        <v/>
      </c>
      <c r="K317" s="22" t="str">
        <f>IFERROR(INDEX('2024ds'!$D$2:$D$368, MATCH($B317, '2024ds'!$A$2:$A$368, 0)), "")</f>
        <v/>
      </c>
      <c r="L317" s="21" t="str">
        <f t="shared" si="32"/>
        <v/>
      </c>
      <c r="U317" s="3" t="str">
        <f t="shared" si="33"/>
        <v/>
      </c>
      <c r="V317" s="4" t="str">
        <f t="shared" si="34"/>
        <v/>
      </c>
      <c r="W317" s="4" t="str">
        <f t="shared" si="35"/>
        <v/>
      </c>
      <c r="X317" t="str">
        <f t="shared" si="30"/>
        <v/>
      </c>
    </row>
    <row r="318" spans="3:24">
      <c r="C318" s="12"/>
      <c r="D318" s="1"/>
      <c r="E318" s="1"/>
      <c r="F318" s="1"/>
      <c r="G318" s="11" t="str">
        <f t="shared" si="29"/>
        <v/>
      </c>
      <c r="H318" s="11" t="str">
        <f t="shared" si="31"/>
        <v/>
      </c>
      <c r="I318" s="15" t="str">
        <f>IFERROR(INDEX('2024ds'!$B$2:$B$368, MATCH($B318, '2024ds'!$A$2:$A$368, 0)), "")</f>
        <v/>
      </c>
      <c r="J318" s="1" t="str">
        <f>IFERROR(INDEX('2024ds'!$C$2:$C$368, MATCH($B318, '2024ds'!$A$2:$A$368, 0)), "")</f>
        <v/>
      </c>
      <c r="K318" s="22" t="str">
        <f>IFERROR(INDEX('2024ds'!$D$2:$D$368, MATCH($B318, '2024ds'!$A$2:$A$368, 0)), "")</f>
        <v/>
      </c>
      <c r="L318" s="21" t="str">
        <f t="shared" si="32"/>
        <v/>
      </c>
      <c r="U318" s="3" t="str">
        <f t="shared" si="33"/>
        <v/>
      </c>
      <c r="V318" s="4" t="str">
        <f t="shared" si="34"/>
        <v/>
      </c>
      <c r="W318" s="4" t="str">
        <f t="shared" si="35"/>
        <v/>
      </c>
      <c r="X318" t="str">
        <f t="shared" si="30"/>
        <v/>
      </c>
    </row>
    <row r="319" spans="3:24">
      <c r="C319" s="12"/>
      <c r="D319" s="1"/>
      <c r="E319" s="1"/>
      <c r="F319" s="1"/>
      <c r="G319" s="11" t="str">
        <f t="shared" si="29"/>
        <v/>
      </c>
      <c r="H319" s="11" t="str">
        <f t="shared" si="31"/>
        <v/>
      </c>
      <c r="I319" s="15" t="str">
        <f>IFERROR(INDEX('2024ds'!$B$2:$B$368, MATCH($B319, '2024ds'!$A$2:$A$368, 0)), "")</f>
        <v/>
      </c>
      <c r="J319" s="1" t="str">
        <f>IFERROR(INDEX('2024ds'!$C$2:$C$368, MATCH($B319, '2024ds'!$A$2:$A$368, 0)), "")</f>
        <v/>
      </c>
      <c r="K319" s="22" t="str">
        <f>IFERROR(INDEX('2024ds'!$D$2:$D$368, MATCH($B319, '2024ds'!$A$2:$A$368, 0)), "")</f>
        <v/>
      </c>
      <c r="L319" s="21" t="str">
        <f t="shared" si="32"/>
        <v/>
      </c>
      <c r="U319" s="3" t="str">
        <f t="shared" si="33"/>
        <v/>
      </c>
      <c r="V319" s="4" t="str">
        <f t="shared" si="34"/>
        <v/>
      </c>
      <c r="W319" s="4" t="str">
        <f t="shared" si="35"/>
        <v/>
      </c>
      <c r="X319" t="str">
        <f t="shared" si="30"/>
        <v/>
      </c>
    </row>
    <row r="320" spans="3:24">
      <c r="C320" s="12"/>
      <c r="D320" s="1"/>
      <c r="E320" s="1"/>
      <c r="F320" s="1"/>
      <c r="G320" s="11" t="str">
        <f t="shared" si="29"/>
        <v/>
      </c>
      <c r="H320" s="11" t="str">
        <f t="shared" si="31"/>
        <v/>
      </c>
      <c r="I320" s="15" t="str">
        <f>IFERROR(INDEX('2024ds'!$B$2:$B$368, MATCH($B320, '2024ds'!$A$2:$A$368, 0)), "")</f>
        <v/>
      </c>
      <c r="J320" s="1" t="str">
        <f>IFERROR(INDEX('2024ds'!$C$2:$C$368, MATCH($B320, '2024ds'!$A$2:$A$368, 0)), "")</f>
        <v/>
      </c>
      <c r="K320" s="22" t="str">
        <f>IFERROR(INDEX('2024ds'!$D$2:$D$368, MATCH($B320, '2024ds'!$A$2:$A$368, 0)), "")</f>
        <v/>
      </c>
      <c r="L320" s="21" t="str">
        <f t="shared" si="32"/>
        <v/>
      </c>
      <c r="U320" s="3" t="str">
        <f t="shared" si="33"/>
        <v/>
      </c>
      <c r="V320" s="4" t="str">
        <f t="shared" si="34"/>
        <v/>
      </c>
      <c r="W320" s="4" t="str">
        <f t="shared" si="35"/>
        <v/>
      </c>
      <c r="X320" t="str">
        <f t="shared" si="30"/>
        <v/>
      </c>
    </row>
    <row r="321" spans="3:24">
      <c r="C321" s="12"/>
      <c r="D321" s="1"/>
      <c r="E321" s="1"/>
      <c r="F321" s="1"/>
      <c r="G321" s="11" t="str">
        <f t="shared" si="29"/>
        <v/>
      </c>
      <c r="H321" s="11" t="str">
        <f t="shared" si="31"/>
        <v/>
      </c>
      <c r="I321" s="15" t="str">
        <f>IFERROR(INDEX('2024ds'!$B$2:$B$368, MATCH($B321, '2024ds'!$A$2:$A$368, 0)), "")</f>
        <v/>
      </c>
      <c r="J321" s="1" t="str">
        <f>IFERROR(INDEX('2024ds'!$C$2:$C$368, MATCH($B321, '2024ds'!$A$2:$A$368, 0)), "")</f>
        <v/>
      </c>
      <c r="K321" s="22" t="str">
        <f>IFERROR(INDEX('2024ds'!$D$2:$D$368, MATCH($B321, '2024ds'!$A$2:$A$368, 0)), "")</f>
        <v/>
      </c>
      <c r="L321" s="21" t="str">
        <f t="shared" si="32"/>
        <v/>
      </c>
      <c r="U321" s="3" t="str">
        <f t="shared" si="33"/>
        <v/>
      </c>
      <c r="V321" s="4" t="str">
        <f t="shared" si="34"/>
        <v/>
      </c>
      <c r="W321" s="4" t="str">
        <f t="shared" si="35"/>
        <v/>
      </c>
      <c r="X321" t="str">
        <f t="shared" si="30"/>
        <v/>
      </c>
    </row>
    <row r="322" spans="3:24">
      <c r="C322" s="12"/>
      <c r="D322" s="1"/>
      <c r="E322" s="1"/>
      <c r="F322" s="1"/>
      <c r="G322" s="11" t="str">
        <f t="shared" ref="G322:G368" si="36">IF(X322="", "", TIMEVALUE("0:" &amp; X322))</f>
        <v/>
      </c>
      <c r="H322" s="11" t="str">
        <f t="shared" si="31"/>
        <v/>
      </c>
      <c r="I322" s="15" t="str">
        <f>IFERROR(INDEX('2024ds'!$B$2:$B$368, MATCH($B322, '2024ds'!$A$2:$A$368, 0)), "")</f>
        <v/>
      </c>
      <c r="J322" s="1" t="str">
        <f>IFERROR(INDEX('2024ds'!$C$2:$C$368, MATCH($B322, '2024ds'!$A$2:$A$368, 0)), "")</f>
        <v/>
      </c>
      <c r="K322" s="22" t="str">
        <f>IFERROR(INDEX('2024ds'!$D$2:$D$368, MATCH($B322, '2024ds'!$A$2:$A$368, 0)), "")</f>
        <v/>
      </c>
      <c r="L322" s="21" t="str">
        <f t="shared" si="32"/>
        <v/>
      </c>
      <c r="U322" s="3" t="str">
        <f t="shared" si="33"/>
        <v/>
      </c>
      <c r="V322" s="4" t="str">
        <f t="shared" si="34"/>
        <v/>
      </c>
      <c r="W322" s="4" t="str">
        <f t="shared" si="35"/>
        <v/>
      </c>
      <c r="X322" t="str">
        <f t="shared" ref="X322:X368" si="37">IF(V322="", "", IF(MOD(W322,1)*60&gt;=59.5, TEXT(INT(W322)+1, "0") &amp; ":00", TEXT(INT(W322), "0") &amp; ":" &amp; TEXT(ROUND(MOD(W322,1)*60, 0), "00")))</f>
        <v/>
      </c>
    </row>
    <row r="323" spans="3:24">
      <c r="C323" s="12"/>
      <c r="D323" s="1"/>
      <c r="E323" s="1"/>
      <c r="F323" s="1"/>
      <c r="G323" s="11" t="str">
        <f t="shared" si="36"/>
        <v/>
      </c>
      <c r="H323" s="11" t="str">
        <f t="shared" ref="H323:H368" si="38">IF(X323="", "", TIMEVALUE("0:" &amp; X323))</f>
        <v/>
      </c>
      <c r="I323" s="15" t="str">
        <f>IFERROR(INDEX('2024ds'!$B$2:$B$368, MATCH($B323, '2024ds'!$A$2:$A$368, 0)), "")</f>
        <v/>
      </c>
      <c r="J323" s="1" t="str">
        <f>IFERROR(INDEX('2024ds'!$C$2:$C$368, MATCH($B323, '2024ds'!$A$2:$A$368, 0)), "")</f>
        <v/>
      </c>
      <c r="K323" s="22" t="str">
        <f>IFERROR(INDEX('2024ds'!$D$2:$D$368, MATCH($B323, '2024ds'!$A$2:$A$368, 0)), "")</f>
        <v/>
      </c>
      <c r="L323" s="21" t="str">
        <f t="shared" ref="L323:L368" si="39">HYPERLINK("#'2024ds'!E" &amp; ROW(B323), "")</f>
        <v/>
      </c>
      <c r="U323" s="3" t="str">
        <f t="shared" ref="U323:U368" si="40">IF(C323="","",TIMEVALUE(C323))</f>
        <v/>
      </c>
      <c r="V323" s="4" t="str">
        <f t="shared" ref="V323:V368" si="41">IF(C323="","",HOUR(C323)*60 + MINUTE(C323) + SECOND(C323)/60)</f>
        <v/>
      </c>
      <c r="W323" s="4" t="str">
        <f t="shared" ref="W323:W369" si="42">IF(V323="","",V323/D323)</f>
        <v/>
      </c>
      <c r="X323" t="str">
        <f t="shared" si="37"/>
        <v/>
      </c>
    </row>
    <row r="324" spans="3:24">
      <c r="C324" s="12"/>
      <c r="D324" s="1"/>
      <c r="E324" s="1"/>
      <c r="F324" s="1"/>
      <c r="G324" s="11" t="str">
        <f t="shared" si="36"/>
        <v/>
      </c>
      <c r="H324" s="11" t="str">
        <f t="shared" si="38"/>
        <v/>
      </c>
      <c r="I324" s="15" t="str">
        <f>IFERROR(INDEX('2024ds'!$B$2:$B$368, MATCH($B324, '2024ds'!$A$2:$A$368, 0)), "")</f>
        <v/>
      </c>
      <c r="J324" s="1" t="str">
        <f>IFERROR(INDEX('2024ds'!$C$2:$C$368, MATCH($B324, '2024ds'!$A$2:$A$368, 0)), "")</f>
        <v/>
      </c>
      <c r="K324" s="22" t="str">
        <f>IFERROR(INDEX('2024ds'!$D$2:$D$368, MATCH($B324, '2024ds'!$A$2:$A$368, 0)), "")</f>
        <v/>
      </c>
      <c r="L324" s="21" t="str">
        <f t="shared" si="39"/>
        <v/>
      </c>
      <c r="U324" s="3" t="str">
        <f t="shared" si="40"/>
        <v/>
      </c>
      <c r="V324" s="4" t="str">
        <f t="shared" si="41"/>
        <v/>
      </c>
      <c r="W324" s="4" t="str">
        <f t="shared" si="42"/>
        <v/>
      </c>
      <c r="X324" t="str">
        <f t="shared" si="37"/>
        <v/>
      </c>
    </row>
    <row r="325" spans="3:24">
      <c r="C325" s="12"/>
      <c r="D325" s="1"/>
      <c r="E325" s="1"/>
      <c r="F325" s="1"/>
      <c r="G325" s="11" t="str">
        <f t="shared" si="36"/>
        <v/>
      </c>
      <c r="H325" s="11" t="str">
        <f t="shared" si="38"/>
        <v/>
      </c>
      <c r="I325" s="15" t="str">
        <f>IFERROR(INDEX('2024ds'!$B$2:$B$368, MATCH($B325, '2024ds'!$A$2:$A$368, 0)), "")</f>
        <v/>
      </c>
      <c r="J325" s="1" t="str">
        <f>IFERROR(INDEX('2024ds'!$C$2:$C$368, MATCH($B325, '2024ds'!$A$2:$A$368, 0)), "")</f>
        <v/>
      </c>
      <c r="K325" s="22" t="str">
        <f>IFERROR(INDEX('2024ds'!$D$2:$D$368, MATCH($B325, '2024ds'!$A$2:$A$368, 0)), "")</f>
        <v/>
      </c>
      <c r="L325" s="21" t="str">
        <f t="shared" si="39"/>
        <v/>
      </c>
      <c r="U325" s="3" t="str">
        <f t="shared" si="40"/>
        <v/>
      </c>
      <c r="V325" s="4" t="str">
        <f t="shared" si="41"/>
        <v/>
      </c>
      <c r="W325" s="4" t="str">
        <f t="shared" si="42"/>
        <v/>
      </c>
      <c r="X325" t="str">
        <f t="shared" si="37"/>
        <v/>
      </c>
    </row>
    <row r="326" spans="3:24">
      <c r="C326" s="12"/>
      <c r="D326" s="1"/>
      <c r="E326" s="1"/>
      <c r="F326" s="1"/>
      <c r="G326" s="11" t="str">
        <f t="shared" si="36"/>
        <v/>
      </c>
      <c r="H326" s="11" t="str">
        <f t="shared" si="38"/>
        <v/>
      </c>
      <c r="I326" s="15" t="str">
        <f>IFERROR(INDEX('2024ds'!$B$2:$B$368, MATCH($B326, '2024ds'!$A$2:$A$368, 0)), "")</f>
        <v/>
      </c>
      <c r="J326" s="1" t="str">
        <f>IFERROR(INDEX('2024ds'!$C$2:$C$368, MATCH($B326, '2024ds'!$A$2:$A$368, 0)), "")</f>
        <v/>
      </c>
      <c r="K326" s="22" t="str">
        <f>IFERROR(INDEX('2024ds'!$D$2:$D$368, MATCH($B326, '2024ds'!$A$2:$A$368, 0)), "")</f>
        <v/>
      </c>
      <c r="L326" s="21" t="str">
        <f t="shared" si="39"/>
        <v/>
      </c>
      <c r="U326" s="3" t="str">
        <f t="shared" si="40"/>
        <v/>
      </c>
      <c r="V326" s="4" t="str">
        <f t="shared" si="41"/>
        <v/>
      </c>
      <c r="W326" s="4" t="str">
        <f t="shared" si="42"/>
        <v/>
      </c>
      <c r="X326" t="str">
        <f t="shared" si="37"/>
        <v/>
      </c>
    </row>
    <row r="327" spans="3:24">
      <c r="C327" s="12"/>
      <c r="D327" s="1"/>
      <c r="E327" s="1"/>
      <c r="F327" s="1"/>
      <c r="G327" s="11" t="str">
        <f t="shared" si="36"/>
        <v/>
      </c>
      <c r="H327" s="11" t="str">
        <f t="shared" si="38"/>
        <v/>
      </c>
      <c r="I327" s="15" t="str">
        <f>IFERROR(INDEX('2024ds'!$B$2:$B$368, MATCH($B327, '2024ds'!$A$2:$A$368, 0)), "")</f>
        <v/>
      </c>
      <c r="J327" s="1" t="str">
        <f>IFERROR(INDEX('2024ds'!$C$2:$C$368, MATCH($B327, '2024ds'!$A$2:$A$368, 0)), "")</f>
        <v/>
      </c>
      <c r="K327" s="22" t="str">
        <f>IFERROR(INDEX('2024ds'!$D$2:$D$368, MATCH($B327, '2024ds'!$A$2:$A$368, 0)), "")</f>
        <v/>
      </c>
      <c r="L327" s="21" t="str">
        <f t="shared" si="39"/>
        <v/>
      </c>
      <c r="U327" s="3" t="str">
        <f t="shared" si="40"/>
        <v/>
      </c>
      <c r="V327" s="4" t="str">
        <f t="shared" si="41"/>
        <v/>
      </c>
      <c r="W327" s="4" t="str">
        <f t="shared" si="42"/>
        <v/>
      </c>
      <c r="X327" t="str">
        <f t="shared" si="37"/>
        <v/>
      </c>
    </row>
    <row r="328" spans="3:24">
      <c r="C328" s="12"/>
      <c r="D328" s="1"/>
      <c r="E328" s="1"/>
      <c r="F328" s="1"/>
      <c r="G328" s="11" t="str">
        <f t="shared" si="36"/>
        <v/>
      </c>
      <c r="H328" s="11" t="str">
        <f t="shared" si="38"/>
        <v/>
      </c>
      <c r="I328" s="15" t="str">
        <f>IFERROR(INDEX('2024ds'!$B$2:$B$368, MATCH($B328, '2024ds'!$A$2:$A$368, 0)), "")</f>
        <v/>
      </c>
      <c r="J328" s="1" t="str">
        <f>IFERROR(INDEX('2024ds'!$C$2:$C$368, MATCH($B328, '2024ds'!$A$2:$A$368, 0)), "")</f>
        <v/>
      </c>
      <c r="K328" s="22" t="str">
        <f>IFERROR(INDEX('2024ds'!$D$2:$D$368, MATCH($B328, '2024ds'!$A$2:$A$368, 0)), "")</f>
        <v/>
      </c>
      <c r="L328" s="21" t="str">
        <f t="shared" si="39"/>
        <v/>
      </c>
      <c r="U328" s="3" t="str">
        <f t="shared" si="40"/>
        <v/>
      </c>
      <c r="V328" s="4" t="str">
        <f t="shared" si="41"/>
        <v/>
      </c>
      <c r="W328" s="4" t="str">
        <f t="shared" si="42"/>
        <v/>
      </c>
      <c r="X328" t="str">
        <f t="shared" si="37"/>
        <v/>
      </c>
    </row>
    <row r="329" spans="3:24">
      <c r="C329" s="12"/>
      <c r="D329" s="1"/>
      <c r="E329" s="1"/>
      <c r="F329" s="1"/>
      <c r="G329" s="11" t="str">
        <f t="shared" si="36"/>
        <v/>
      </c>
      <c r="H329" s="11" t="str">
        <f t="shared" si="38"/>
        <v/>
      </c>
      <c r="I329" s="15" t="str">
        <f>IFERROR(INDEX('2024ds'!$B$2:$B$368, MATCH($B329, '2024ds'!$A$2:$A$368, 0)), "")</f>
        <v/>
      </c>
      <c r="J329" s="1" t="str">
        <f>IFERROR(INDEX('2024ds'!$C$2:$C$368, MATCH($B329, '2024ds'!$A$2:$A$368, 0)), "")</f>
        <v/>
      </c>
      <c r="K329" s="22" t="str">
        <f>IFERROR(INDEX('2024ds'!$D$2:$D$368, MATCH($B329, '2024ds'!$A$2:$A$368, 0)), "")</f>
        <v/>
      </c>
      <c r="L329" s="21" t="str">
        <f t="shared" si="39"/>
        <v/>
      </c>
      <c r="U329" s="3" t="str">
        <f t="shared" si="40"/>
        <v/>
      </c>
      <c r="V329" s="4" t="str">
        <f t="shared" si="41"/>
        <v/>
      </c>
      <c r="W329" s="4" t="str">
        <f t="shared" si="42"/>
        <v/>
      </c>
      <c r="X329" t="str">
        <f t="shared" si="37"/>
        <v/>
      </c>
    </row>
    <row r="330" spans="3:24">
      <c r="C330" s="12"/>
      <c r="D330" s="1"/>
      <c r="E330" s="1"/>
      <c r="F330" s="1"/>
      <c r="G330" s="11" t="str">
        <f t="shared" si="36"/>
        <v/>
      </c>
      <c r="H330" s="11" t="str">
        <f t="shared" si="38"/>
        <v/>
      </c>
      <c r="I330" s="15" t="str">
        <f>IFERROR(INDEX('2024ds'!$B$2:$B$368, MATCH($B330, '2024ds'!$A$2:$A$368, 0)), "")</f>
        <v/>
      </c>
      <c r="J330" s="1" t="str">
        <f>IFERROR(INDEX('2024ds'!$C$2:$C$368, MATCH($B330, '2024ds'!$A$2:$A$368, 0)), "")</f>
        <v/>
      </c>
      <c r="K330" s="22" t="str">
        <f>IFERROR(INDEX('2024ds'!$D$2:$D$368, MATCH($B330, '2024ds'!$A$2:$A$368, 0)), "")</f>
        <v/>
      </c>
      <c r="L330" s="21" t="str">
        <f t="shared" si="39"/>
        <v/>
      </c>
      <c r="U330" s="3" t="str">
        <f t="shared" si="40"/>
        <v/>
      </c>
      <c r="V330" s="4" t="str">
        <f t="shared" si="41"/>
        <v/>
      </c>
      <c r="W330" s="4" t="str">
        <f t="shared" si="42"/>
        <v/>
      </c>
      <c r="X330" t="str">
        <f t="shared" si="37"/>
        <v/>
      </c>
    </row>
    <row r="331" spans="3:24">
      <c r="C331" s="12"/>
      <c r="D331" s="1"/>
      <c r="E331" s="1"/>
      <c r="F331" s="1"/>
      <c r="G331" s="11" t="str">
        <f t="shared" si="36"/>
        <v/>
      </c>
      <c r="H331" s="11" t="str">
        <f t="shared" si="38"/>
        <v/>
      </c>
      <c r="I331" s="15" t="str">
        <f>IFERROR(INDEX('2024ds'!$B$2:$B$368, MATCH($B331, '2024ds'!$A$2:$A$368, 0)), "")</f>
        <v/>
      </c>
      <c r="J331" s="1" t="str">
        <f>IFERROR(INDEX('2024ds'!$C$2:$C$368, MATCH($B331, '2024ds'!$A$2:$A$368, 0)), "")</f>
        <v/>
      </c>
      <c r="K331" s="22" t="str">
        <f>IFERROR(INDEX('2024ds'!$D$2:$D$368, MATCH($B331, '2024ds'!$A$2:$A$368, 0)), "")</f>
        <v/>
      </c>
      <c r="L331" s="21" t="str">
        <f t="shared" si="39"/>
        <v/>
      </c>
      <c r="U331" s="3" t="str">
        <f t="shared" si="40"/>
        <v/>
      </c>
      <c r="V331" s="4" t="str">
        <f t="shared" si="41"/>
        <v/>
      </c>
      <c r="W331" s="4" t="str">
        <f t="shared" si="42"/>
        <v/>
      </c>
      <c r="X331" t="str">
        <f t="shared" si="37"/>
        <v/>
      </c>
    </row>
    <row r="332" spans="3:24">
      <c r="C332" s="12"/>
      <c r="D332" s="1"/>
      <c r="E332" s="1"/>
      <c r="F332" s="1"/>
      <c r="G332" s="11" t="str">
        <f t="shared" si="36"/>
        <v/>
      </c>
      <c r="H332" s="11" t="str">
        <f t="shared" si="38"/>
        <v/>
      </c>
      <c r="I332" s="15" t="str">
        <f>IFERROR(INDEX('2024ds'!$B$2:$B$368, MATCH($B332, '2024ds'!$A$2:$A$368, 0)), "")</f>
        <v/>
      </c>
      <c r="J332" s="1" t="str">
        <f>IFERROR(INDEX('2024ds'!$C$2:$C$368, MATCH($B332, '2024ds'!$A$2:$A$368, 0)), "")</f>
        <v/>
      </c>
      <c r="K332" s="22" t="str">
        <f>IFERROR(INDEX('2024ds'!$D$2:$D$368, MATCH($B332, '2024ds'!$A$2:$A$368, 0)), "")</f>
        <v/>
      </c>
      <c r="L332" s="21" t="str">
        <f t="shared" si="39"/>
        <v/>
      </c>
      <c r="U332" s="3" t="str">
        <f t="shared" si="40"/>
        <v/>
      </c>
      <c r="V332" s="4" t="str">
        <f t="shared" si="41"/>
        <v/>
      </c>
      <c r="W332" s="4" t="str">
        <f t="shared" si="42"/>
        <v/>
      </c>
      <c r="X332" t="str">
        <f t="shared" si="37"/>
        <v/>
      </c>
    </row>
    <row r="333" spans="3:24">
      <c r="C333" s="12"/>
      <c r="D333" s="1"/>
      <c r="E333" s="1"/>
      <c r="F333" s="1"/>
      <c r="G333" s="11" t="str">
        <f t="shared" si="36"/>
        <v/>
      </c>
      <c r="H333" s="11" t="str">
        <f t="shared" si="38"/>
        <v/>
      </c>
      <c r="I333" s="15" t="str">
        <f>IFERROR(INDEX('2024ds'!$B$2:$B$368, MATCH($B333, '2024ds'!$A$2:$A$368, 0)), "")</f>
        <v/>
      </c>
      <c r="J333" s="1" t="str">
        <f>IFERROR(INDEX('2024ds'!$C$2:$C$368, MATCH($B333, '2024ds'!$A$2:$A$368, 0)), "")</f>
        <v/>
      </c>
      <c r="K333" s="22" t="str">
        <f>IFERROR(INDEX('2024ds'!$D$2:$D$368, MATCH($B333, '2024ds'!$A$2:$A$368, 0)), "")</f>
        <v/>
      </c>
      <c r="L333" s="21" t="str">
        <f t="shared" si="39"/>
        <v/>
      </c>
      <c r="U333" s="3" t="str">
        <f t="shared" si="40"/>
        <v/>
      </c>
      <c r="V333" s="4" t="str">
        <f t="shared" si="41"/>
        <v/>
      </c>
      <c r="W333" s="4" t="str">
        <f t="shared" si="42"/>
        <v/>
      </c>
      <c r="X333" t="str">
        <f t="shared" si="37"/>
        <v/>
      </c>
    </row>
    <row r="334" spans="3:24">
      <c r="C334" s="12"/>
      <c r="D334" s="1"/>
      <c r="E334" s="1"/>
      <c r="F334" s="1"/>
      <c r="G334" s="11" t="str">
        <f t="shared" si="36"/>
        <v/>
      </c>
      <c r="H334" s="11" t="str">
        <f t="shared" si="38"/>
        <v/>
      </c>
      <c r="I334" s="15" t="str">
        <f>IFERROR(INDEX('2024ds'!$B$2:$B$368, MATCH($B334, '2024ds'!$A$2:$A$368, 0)), "")</f>
        <v/>
      </c>
      <c r="J334" s="1" t="str">
        <f>IFERROR(INDEX('2024ds'!$C$2:$C$368, MATCH($B334, '2024ds'!$A$2:$A$368, 0)), "")</f>
        <v/>
      </c>
      <c r="K334" s="22" t="str">
        <f>IFERROR(INDEX('2024ds'!$D$2:$D$368, MATCH($B334, '2024ds'!$A$2:$A$368, 0)), "")</f>
        <v/>
      </c>
      <c r="L334" s="21" t="str">
        <f t="shared" si="39"/>
        <v/>
      </c>
      <c r="U334" s="3" t="str">
        <f t="shared" si="40"/>
        <v/>
      </c>
      <c r="V334" s="4" t="str">
        <f t="shared" si="41"/>
        <v/>
      </c>
      <c r="W334" s="4" t="str">
        <f t="shared" si="42"/>
        <v/>
      </c>
      <c r="X334" t="str">
        <f t="shared" si="37"/>
        <v/>
      </c>
    </row>
    <row r="335" spans="3:24">
      <c r="C335" s="12"/>
      <c r="D335" s="1"/>
      <c r="E335" s="1"/>
      <c r="F335" s="1"/>
      <c r="G335" s="11" t="str">
        <f t="shared" si="36"/>
        <v/>
      </c>
      <c r="H335" s="11" t="str">
        <f t="shared" si="38"/>
        <v/>
      </c>
      <c r="I335" s="15" t="str">
        <f>IFERROR(INDEX('2024ds'!$B$2:$B$368, MATCH($B335, '2024ds'!$A$2:$A$368, 0)), "")</f>
        <v/>
      </c>
      <c r="J335" s="1" t="str">
        <f>IFERROR(INDEX('2024ds'!$C$2:$C$368, MATCH($B335, '2024ds'!$A$2:$A$368, 0)), "")</f>
        <v/>
      </c>
      <c r="K335" s="22" t="str">
        <f>IFERROR(INDEX('2024ds'!$D$2:$D$368, MATCH($B335, '2024ds'!$A$2:$A$368, 0)), "")</f>
        <v/>
      </c>
      <c r="L335" s="21" t="str">
        <f t="shared" si="39"/>
        <v/>
      </c>
      <c r="U335" s="3" t="str">
        <f t="shared" si="40"/>
        <v/>
      </c>
      <c r="V335" s="4" t="str">
        <f t="shared" si="41"/>
        <v/>
      </c>
      <c r="W335" s="4" t="str">
        <f t="shared" si="42"/>
        <v/>
      </c>
      <c r="X335" t="str">
        <f t="shared" si="37"/>
        <v/>
      </c>
    </row>
    <row r="336" spans="3:24">
      <c r="C336" s="12"/>
      <c r="D336" s="1"/>
      <c r="E336" s="1"/>
      <c r="F336" s="1"/>
      <c r="G336" s="11" t="str">
        <f t="shared" si="36"/>
        <v/>
      </c>
      <c r="H336" s="11" t="str">
        <f t="shared" si="38"/>
        <v/>
      </c>
      <c r="I336" s="15" t="str">
        <f>IFERROR(INDEX('2024ds'!$B$2:$B$368, MATCH($B336, '2024ds'!$A$2:$A$368, 0)), "")</f>
        <v/>
      </c>
      <c r="J336" s="1" t="str">
        <f>IFERROR(INDEX('2024ds'!$C$2:$C$368, MATCH($B336, '2024ds'!$A$2:$A$368, 0)), "")</f>
        <v/>
      </c>
      <c r="K336" s="22" t="str">
        <f>IFERROR(INDEX('2024ds'!$D$2:$D$368, MATCH($B336, '2024ds'!$A$2:$A$368, 0)), "")</f>
        <v/>
      </c>
      <c r="L336" s="21" t="str">
        <f t="shared" si="39"/>
        <v/>
      </c>
      <c r="U336" s="3" t="str">
        <f t="shared" si="40"/>
        <v/>
      </c>
      <c r="V336" s="4" t="str">
        <f t="shared" si="41"/>
        <v/>
      </c>
      <c r="W336" s="4" t="str">
        <f t="shared" si="42"/>
        <v/>
      </c>
      <c r="X336" t="str">
        <f t="shared" si="37"/>
        <v/>
      </c>
    </row>
    <row r="337" spans="3:24">
      <c r="C337" s="12"/>
      <c r="D337" s="1"/>
      <c r="E337" s="1"/>
      <c r="F337" s="1"/>
      <c r="G337" s="11" t="str">
        <f t="shared" si="36"/>
        <v/>
      </c>
      <c r="H337" s="11" t="str">
        <f t="shared" si="38"/>
        <v/>
      </c>
      <c r="I337" s="15" t="str">
        <f>IFERROR(INDEX('2024ds'!$B$2:$B$368, MATCH($B337, '2024ds'!$A$2:$A$368, 0)), "")</f>
        <v/>
      </c>
      <c r="J337" s="1" t="str">
        <f>IFERROR(INDEX('2024ds'!$C$2:$C$368, MATCH($B337, '2024ds'!$A$2:$A$368, 0)), "")</f>
        <v/>
      </c>
      <c r="K337" s="22" t="str">
        <f>IFERROR(INDEX('2024ds'!$D$2:$D$368, MATCH($B337, '2024ds'!$A$2:$A$368, 0)), "")</f>
        <v/>
      </c>
      <c r="L337" s="21" t="str">
        <f t="shared" si="39"/>
        <v/>
      </c>
      <c r="U337" s="3" t="str">
        <f t="shared" si="40"/>
        <v/>
      </c>
      <c r="V337" s="4" t="str">
        <f t="shared" si="41"/>
        <v/>
      </c>
      <c r="W337" s="4" t="str">
        <f t="shared" si="42"/>
        <v/>
      </c>
      <c r="X337" t="str">
        <f t="shared" si="37"/>
        <v/>
      </c>
    </row>
    <row r="338" spans="3:24">
      <c r="C338" s="12"/>
      <c r="D338" s="1"/>
      <c r="E338" s="1"/>
      <c r="F338" s="1"/>
      <c r="G338" s="11" t="str">
        <f t="shared" si="36"/>
        <v/>
      </c>
      <c r="H338" s="11" t="str">
        <f t="shared" si="38"/>
        <v/>
      </c>
      <c r="I338" s="15" t="str">
        <f>IFERROR(INDEX('2024ds'!$B$2:$B$368, MATCH($B338, '2024ds'!$A$2:$A$368, 0)), "")</f>
        <v/>
      </c>
      <c r="J338" s="1" t="str">
        <f>IFERROR(INDEX('2024ds'!$C$2:$C$368, MATCH($B338, '2024ds'!$A$2:$A$368, 0)), "")</f>
        <v/>
      </c>
      <c r="K338" s="22" t="str">
        <f>IFERROR(INDEX('2024ds'!$D$2:$D$368, MATCH($B338, '2024ds'!$A$2:$A$368, 0)), "")</f>
        <v/>
      </c>
      <c r="L338" s="21" t="str">
        <f t="shared" si="39"/>
        <v/>
      </c>
      <c r="U338" s="3" t="str">
        <f t="shared" si="40"/>
        <v/>
      </c>
      <c r="V338" s="4" t="str">
        <f t="shared" si="41"/>
        <v/>
      </c>
      <c r="W338" s="4" t="str">
        <f t="shared" si="42"/>
        <v/>
      </c>
      <c r="X338" t="str">
        <f t="shared" si="37"/>
        <v/>
      </c>
    </row>
    <row r="339" spans="3:24">
      <c r="C339" s="12"/>
      <c r="D339" s="1"/>
      <c r="E339" s="1"/>
      <c r="F339" s="1"/>
      <c r="G339" s="11" t="str">
        <f t="shared" si="36"/>
        <v/>
      </c>
      <c r="H339" s="11" t="str">
        <f t="shared" si="38"/>
        <v/>
      </c>
      <c r="I339" s="15" t="str">
        <f>IFERROR(INDEX('2024ds'!$B$2:$B$368, MATCH($B339, '2024ds'!$A$2:$A$368, 0)), "")</f>
        <v/>
      </c>
      <c r="J339" s="1" t="str">
        <f>IFERROR(INDEX('2024ds'!$C$2:$C$368, MATCH($B339, '2024ds'!$A$2:$A$368, 0)), "")</f>
        <v/>
      </c>
      <c r="K339" s="22" t="str">
        <f>IFERROR(INDEX('2024ds'!$D$2:$D$368, MATCH($B339, '2024ds'!$A$2:$A$368, 0)), "")</f>
        <v/>
      </c>
      <c r="L339" s="21" t="str">
        <f t="shared" si="39"/>
        <v/>
      </c>
      <c r="U339" s="3" t="str">
        <f t="shared" si="40"/>
        <v/>
      </c>
      <c r="V339" s="4" t="str">
        <f t="shared" si="41"/>
        <v/>
      </c>
      <c r="W339" s="4" t="str">
        <f t="shared" si="42"/>
        <v/>
      </c>
      <c r="X339" t="str">
        <f t="shared" si="37"/>
        <v/>
      </c>
    </row>
    <row r="340" spans="3:24">
      <c r="C340" s="12"/>
      <c r="D340" s="1"/>
      <c r="E340" s="1"/>
      <c r="F340" s="1"/>
      <c r="G340" s="11" t="str">
        <f t="shared" si="36"/>
        <v/>
      </c>
      <c r="H340" s="11" t="str">
        <f t="shared" si="38"/>
        <v/>
      </c>
      <c r="I340" s="15" t="str">
        <f>IFERROR(INDEX('2024ds'!$B$2:$B$368, MATCH($B340, '2024ds'!$A$2:$A$368, 0)), "")</f>
        <v/>
      </c>
      <c r="J340" s="1" t="str">
        <f>IFERROR(INDEX('2024ds'!$C$2:$C$368, MATCH($B340, '2024ds'!$A$2:$A$368, 0)), "")</f>
        <v/>
      </c>
      <c r="K340" s="22" t="str">
        <f>IFERROR(INDEX('2024ds'!$D$2:$D$368, MATCH($B340, '2024ds'!$A$2:$A$368, 0)), "")</f>
        <v/>
      </c>
      <c r="L340" s="21" t="str">
        <f t="shared" si="39"/>
        <v/>
      </c>
      <c r="U340" s="3" t="str">
        <f t="shared" si="40"/>
        <v/>
      </c>
      <c r="V340" s="4" t="str">
        <f t="shared" si="41"/>
        <v/>
      </c>
      <c r="W340" s="4" t="str">
        <f t="shared" si="42"/>
        <v/>
      </c>
      <c r="X340" t="str">
        <f t="shared" si="37"/>
        <v/>
      </c>
    </row>
    <row r="341" spans="3:24">
      <c r="C341" s="12"/>
      <c r="D341" s="1"/>
      <c r="E341" s="1"/>
      <c r="F341" s="1"/>
      <c r="G341" s="11" t="str">
        <f t="shared" si="36"/>
        <v/>
      </c>
      <c r="H341" s="11" t="str">
        <f t="shared" si="38"/>
        <v/>
      </c>
      <c r="I341" s="15" t="str">
        <f>IFERROR(INDEX('2024ds'!$B$2:$B$368, MATCH($B341, '2024ds'!$A$2:$A$368, 0)), "")</f>
        <v/>
      </c>
      <c r="J341" s="1" t="str">
        <f>IFERROR(INDEX('2024ds'!$C$2:$C$368, MATCH($B341, '2024ds'!$A$2:$A$368, 0)), "")</f>
        <v/>
      </c>
      <c r="K341" s="22" t="str">
        <f>IFERROR(INDEX('2024ds'!$D$2:$D$368, MATCH($B341, '2024ds'!$A$2:$A$368, 0)), "")</f>
        <v/>
      </c>
      <c r="L341" s="21" t="str">
        <f t="shared" si="39"/>
        <v/>
      </c>
      <c r="U341" s="3" t="str">
        <f t="shared" si="40"/>
        <v/>
      </c>
      <c r="V341" s="4" t="str">
        <f t="shared" si="41"/>
        <v/>
      </c>
      <c r="W341" s="4" t="str">
        <f t="shared" si="42"/>
        <v/>
      </c>
      <c r="X341" t="str">
        <f t="shared" si="37"/>
        <v/>
      </c>
    </row>
    <row r="342" spans="3:24">
      <c r="C342" s="12"/>
      <c r="D342" s="1"/>
      <c r="E342" s="1"/>
      <c r="F342" s="1"/>
      <c r="G342" s="11" t="str">
        <f t="shared" si="36"/>
        <v/>
      </c>
      <c r="H342" s="11" t="str">
        <f t="shared" si="38"/>
        <v/>
      </c>
      <c r="I342" s="15" t="str">
        <f>IFERROR(INDEX('2024ds'!$B$2:$B$368, MATCH($B342, '2024ds'!$A$2:$A$368, 0)), "")</f>
        <v/>
      </c>
      <c r="J342" s="1" t="str">
        <f>IFERROR(INDEX('2024ds'!$C$2:$C$368, MATCH($B342, '2024ds'!$A$2:$A$368, 0)), "")</f>
        <v/>
      </c>
      <c r="K342" s="22" t="str">
        <f>IFERROR(INDEX('2024ds'!$D$2:$D$368, MATCH($B342, '2024ds'!$A$2:$A$368, 0)), "")</f>
        <v/>
      </c>
      <c r="L342" s="21" t="str">
        <f t="shared" si="39"/>
        <v/>
      </c>
      <c r="U342" s="3" t="str">
        <f t="shared" si="40"/>
        <v/>
      </c>
      <c r="V342" s="4" t="str">
        <f t="shared" si="41"/>
        <v/>
      </c>
      <c r="W342" s="4" t="str">
        <f t="shared" si="42"/>
        <v/>
      </c>
      <c r="X342" t="str">
        <f t="shared" si="37"/>
        <v/>
      </c>
    </row>
    <row r="343" spans="3:24">
      <c r="C343" s="12"/>
      <c r="D343" s="1"/>
      <c r="E343" s="1"/>
      <c r="F343" s="1"/>
      <c r="G343" s="11" t="str">
        <f t="shared" si="36"/>
        <v/>
      </c>
      <c r="H343" s="11" t="str">
        <f t="shared" si="38"/>
        <v/>
      </c>
      <c r="I343" s="15" t="str">
        <f>IFERROR(INDEX('2024ds'!$B$2:$B$368, MATCH($B343, '2024ds'!$A$2:$A$368, 0)), "")</f>
        <v/>
      </c>
      <c r="J343" s="1" t="str">
        <f>IFERROR(INDEX('2024ds'!$C$2:$C$368, MATCH($B343, '2024ds'!$A$2:$A$368, 0)), "")</f>
        <v/>
      </c>
      <c r="K343" s="22" t="str">
        <f>IFERROR(INDEX('2024ds'!$D$2:$D$368, MATCH($B343, '2024ds'!$A$2:$A$368, 0)), "")</f>
        <v/>
      </c>
      <c r="L343" s="21" t="str">
        <f t="shared" si="39"/>
        <v/>
      </c>
      <c r="U343" s="3" t="str">
        <f t="shared" si="40"/>
        <v/>
      </c>
      <c r="V343" s="4" t="str">
        <f t="shared" si="41"/>
        <v/>
      </c>
      <c r="W343" s="4" t="str">
        <f t="shared" si="42"/>
        <v/>
      </c>
      <c r="X343" t="str">
        <f t="shared" si="37"/>
        <v/>
      </c>
    </row>
    <row r="344" spans="3:24">
      <c r="C344" s="12"/>
      <c r="D344" s="1"/>
      <c r="E344" s="1"/>
      <c r="F344" s="1"/>
      <c r="G344" s="11" t="str">
        <f t="shared" si="36"/>
        <v/>
      </c>
      <c r="H344" s="11" t="str">
        <f t="shared" si="38"/>
        <v/>
      </c>
      <c r="I344" s="15" t="str">
        <f>IFERROR(INDEX('2024ds'!$B$2:$B$368, MATCH($B344, '2024ds'!$A$2:$A$368, 0)), "")</f>
        <v/>
      </c>
      <c r="J344" s="1" t="str">
        <f>IFERROR(INDEX('2024ds'!$C$2:$C$368, MATCH($B344, '2024ds'!$A$2:$A$368, 0)), "")</f>
        <v/>
      </c>
      <c r="K344" s="22" t="str">
        <f>IFERROR(INDEX('2024ds'!$D$2:$D$368, MATCH($B344, '2024ds'!$A$2:$A$368, 0)), "")</f>
        <v/>
      </c>
      <c r="L344" s="21" t="str">
        <f t="shared" si="39"/>
        <v/>
      </c>
      <c r="U344" s="3" t="str">
        <f t="shared" si="40"/>
        <v/>
      </c>
      <c r="V344" s="4" t="str">
        <f t="shared" si="41"/>
        <v/>
      </c>
      <c r="W344" s="4" t="str">
        <f t="shared" si="42"/>
        <v/>
      </c>
      <c r="X344" t="str">
        <f t="shared" si="37"/>
        <v/>
      </c>
    </row>
    <row r="345" spans="3:24">
      <c r="C345" s="12"/>
      <c r="D345" s="1"/>
      <c r="E345" s="1"/>
      <c r="F345" s="1"/>
      <c r="G345" s="11" t="str">
        <f t="shared" si="36"/>
        <v/>
      </c>
      <c r="H345" s="11" t="str">
        <f t="shared" si="38"/>
        <v/>
      </c>
      <c r="I345" s="15" t="str">
        <f>IFERROR(INDEX('2024ds'!$B$2:$B$368, MATCH($B345, '2024ds'!$A$2:$A$368, 0)), "")</f>
        <v/>
      </c>
      <c r="J345" s="1" t="str">
        <f>IFERROR(INDEX('2024ds'!$C$2:$C$368, MATCH($B345, '2024ds'!$A$2:$A$368, 0)), "")</f>
        <v/>
      </c>
      <c r="K345" s="22" t="str">
        <f>IFERROR(INDEX('2024ds'!$D$2:$D$368, MATCH($B345, '2024ds'!$A$2:$A$368, 0)), "")</f>
        <v/>
      </c>
      <c r="L345" s="21" t="str">
        <f t="shared" si="39"/>
        <v/>
      </c>
      <c r="U345" s="3" t="str">
        <f t="shared" si="40"/>
        <v/>
      </c>
      <c r="V345" s="4" t="str">
        <f t="shared" si="41"/>
        <v/>
      </c>
      <c r="W345" s="4" t="str">
        <f t="shared" si="42"/>
        <v/>
      </c>
      <c r="X345" t="str">
        <f t="shared" si="37"/>
        <v/>
      </c>
    </row>
    <row r="346" spans="3:24">
      <c r="C346" s="12"/>
      <c r="D346" s="1"/>
      <c r="E346" s="1"/>
      <c r="F346" s="1"/>
      <c r="G346" s="11" t="str">
        <f t="shared" si="36"/>
        <v/>
      </c>
      <c r="H346" s="11" t="str">
        <f t="shared" si="38"/>
        <v/>
      </c>
      <c r="I346" s="15" t="str">
        <f>IFERROR(INDEX('2024ds'!$B$2:$B$368, MATCH($B346, '2024ds'!$A$2:$A$368, 0)), "")</f>
        <v/>
      </c>
      <c r="J346" s="1" t="str">
        <f>IFERROR(INDEX('2024ds'!$C$2:$C$368, MATCH($B346, '2024ds'!$A$2:$A$368, 0)), "")</f>
        <v/>
      </c>
      <c r="K346" s="22" t="str">
        <f>IFERROR(INDEX('2024ds'!$D$2:$D$368, MATCH($B346, '2024ds'!$A$2:$A$368, 0)), "")</f>
        <v/>
      </c>
      <c r="L346" s="21" t="str">
        <f t="shared" si="39"/>
        <v/>
      </c>
      <c r="U346" s="3" t="str">
        <f t="shared" si="40"/>
        <v/>
      </c>
      <c r="V346" s="4" t="str">
        <f t="shared" si="41"/>
        <v/>
      </c>
      <c r="W346" s="4" t="str">
        <f t="shared" si="42"/>
        <v/>
      </c>
      <c r="X346" t="str">
        <f t="shared" si="37"/>
        <v/>
      </c>
    </row>
    <row r="347" spans="3:24">
      <c r="C347" s="12"/>
      <c r="D347" s="1"/>
      <c r="E347" s="1"/>
      <c r="F347" s="1"/>
      <c r="G347" s="11" t="str">
        <f t="shared" si="36"/>
        <v/>
      </c>
      <c r="H347" s="11" t="str">
        <f t="shared" si="38"/>
        <v/>
      </c>
      <c r="I347" s="15" t="str">
        <f>IFERROR(INDEX('2024ds'!$B$2:$B$368, MATCH($B347, '2024ds'!$A$2:$A$368, 0)), "")</f>
        <v/>
      </c>
      <c r="J347" s="1" t="str">
        <f>IFERROR(INDEX('2024ds'!$C$2:$C$368, MATCH($B347, '2024ds'!$A$2:$A$368, 0)), "")</f>
        <v/>
      </c>
      <c r="K347" s="22" t="str">
        <f>IFERROR(INDEX('2024ds'!$D$2:$D$368, MATCH($B347, '2024ds'!$A$2:$A$368, 0)), "")</f>
        <v/>
      </c>
      <c r="L347" s="21" t="str">
        <f t="shared" si="39"/>
        <v/>
      </c>
      <c r="U347" s="3" t="str">
        <f t="shared" si="40"/>
        <v/>
      </c>
      <c r="V347" s="4" t="str">
        <f t="shared" si="41"/>
        <v/>
      </c>
      <c r="W347" s="4" t="str">
        <f t="shared" si="42"/>
        <v/>
      </c>
      <c r="X347" t="str">
        <f t="shared" si="37"/>
        <v/>
      </c>
    </row>
    <row r="348" spans="3:24">
      <c r="C348" s="12"/>
      <c r="D348" s="1"/>
      <c r="E348" s="1"/>
      <c r="F348" s="1"/>
      <c r="G348" s="11" t="str">
        <f t="shared" si="36"/>
        <v/>
      </c>
      <c r="H348" s="11" t="str">
        <f t="shared" si="38"/>
        <v/>
      </c>
      <c r="I348" s="15" t="str">
        <f>IFERROR(INDEX('2024ds'!$B$2:$B$368, MATCH($B348, '2024ds'!$A$2:$A$368, 0)), "")</f>
        <v/>
      </c>
      <c r="J348" s="1" t="str">
        <f>IFERROR(INDEX('2024ds'!$C$2:$C$368, MATCH($B348, '2024ds'!$A$2:$A$368, 0)), "")</f>
        <v/>
      </c>
      <c r="K348" s="22" t="str">
        <f>IFERROR(INDEX('2024ds'!$D$2:$D$368, MATCH($B348, '2024ds'!$A$2:$A$368, 0)), "")</f>
        <v/>
      </c>
      <c r="L348" s="21" t="str">
        <f t="shared" si="39"/>
        <v/>
      </c>
      <c r="U348" s="3" t="str">
        <f t="shared" si="40"/>
        <v/>
      </c>
      <c r="V348" s="4" t="str">
        <f t="shared" si="41"/>
        <v/>
      </c>
      <c r="W348" s="4" t="str">
        <f t="shared" si="42"/>
        <v/>
      </c>
      <c r="X348" t="str">
        <f t="shared" si="37"/>
        <v/>
      </c>
    </row>
    <row r="349" spans="3:24">
      <c r="C349" s="12"/>
      <c r="D349" s="1"/>
      <c r="E349" s="1"/>
      <c r="F349" s="1"/>
      <c r="G349" s="11" t="str">
        <f t="shared" si="36"/>
        <v/>
      </c>
      <c r="H349" s="11" t="str">
        <f t="shared" si="38"/>
        <v/>
      </c>
      <c r="I349" s="15" t="str">
        <f>IFERROR(INDEX('2024ds'!$B$2:$B$368, MATCH($B349, '2024ds'!$A$2:$A$368, 0)), "")</f>
        <v/>
      </c>
      <c r="J349" s="1" t="str">
        <f>IFERROR(INDEX('2024ds'!$C$2:$C$368, MATCH($B349, '2024ds'!$A$2:$A$368, 0)), "")</f>
        <v/>
      </c>
      <c r="K349" s="22" t="str">
        <f>IFERROR(INDEX('2024ds'!$D$2:$D$368, MATCH($B349, '2024ds'!$A$2:$A$368, 0)), "")</f>
        <v/>
      </c>
      <c r="L349" s="21" t="str">
        <f t="shared" si="39"/>
        <v/>
      </c>
      <c r="U349" s="3" t="str">
        <f t="shared" si="40"/>
        <v/>
      </c>
      <c r="V349" s="4" t="str">
        <f t="shared" si="41"/>
        <v/>
      </c>
      <c r="W349" s="4" t="str">
        <f t="shared" si="42"/>
        <v/>
      </c>
      <c r="X349" t="str">
        <f t="shared" si="37"/>
        <v/>
      </c>
    </row>
    <row r="350" spans="3:24">
      <c r="C350" s="12"/>
      <c r="D350" s="1"/>
      <c r="E350" s="1"/>
      <c r="F350" s="1"/>
      <c r="G350" s="11" t="str">
        <f t="shared" si="36"/>
        <v/>
      </c>
      <c r="H350" s="11" t="str">
        <f t="shared" si="38"/>
        <v/>
      </c>
      <c r="I350" s="15" t="str">
        <f>IFERROR(INDEX('2024ds'!$B$2:$B$368, MATCH($B350, '2024ds'!$A$2:$A$368, 0)), "")</f>
        <v/>
      </c>
      <c r="J350" s="1" t="str">
        <f>IFERROR(INDEX('2024ds'!$C$2:$C$368, MATCH($B350, '2024ds'!$A$2:$A$368, 0)), "")</f>
        <v/>
      </c>
      <c r="K350" s="22" t="str">
        <f>IFERROR(INDEX('2024ds'!$D$2:$D$368, MATCH($B350, '2024ds'!$A$2:$A$368, 0)), "")</f>
        <v/>
      </c>
      <c r="L350" s="21" t="str">
        <f t="shared" si="39"/>
        <v/>
      </c>
      <c r="U350" s="3" t="str">
        <f t="shared" si="40"/>
        <v/>
      </c>
      <c r="V350" s="4" t="str">
        <f t="shared" si="41"/>
        <v/>
      </c>
      <c r="W350" s="4" t="str">
        <f t="shared" si="42"/>
        <v/>
      </c>
      <c r="X350" t="str">
        <f t="shared" si="37"/>
        <v/>
      </c>
    </row>
    <row r="351" spans="3:24">
      <c r="C351" s="12"/>
      <c r="D351" s="1"/>
      <c r="E351" s="1"/>
      <c r="F351" s="1"/>
      <c r="G351" s="11" t="str">
        <f t="shared" si="36"/>
        <v/>
      </c>
      <c r="H351" s="11" t="str">
        <f t="shared" si="38"/>
        <v/>
      </c>
      <c r="I351" s="15" t="str">
        <f>IFERROR(INDEX('2024ds'!$B$2:$B$368, MATCH($B351, '2024ds'!$A$2:$A$368, 0)), "")</f>
        <v/>
      </c>
      <c r="J351" s="1" t="str">
        <f>IFERROR(INDEX('2024ds'!$C$2:$C$368, MATCH($B351, '2024ds'!$A$2:$A$368, 0)), "")</f>
        <v/>
      </c>
      <c r="K351" s="22" t="str">
        <f>IFERROR(INDEX('2024ds'!$D$2:$D$368, MATCH($B351, '2024ds'!$A$2:$A$368, 0)), "")</f>
        <v/>
      </c>
      <c r="L351" s="21" t="str">
        <f t="shared" si="39"/>
        <v/>
      </c>
      <c r="U351" s="3" t="str">
        <f t="shared" si="40"/>
        <v/>
      </c>
      <c r="V351" s="4" t="str">
        <f t="shared" si="41"/>
        <v/>
      </c>
      <c r="W351" s="4" t="str">
        <f t="shared" si="42"/>
        <v/>
      </c>
      <c r="X351" t="str">
        <f t="shared" si="37"/>
        <v/>
      </c>
    </row>
    <row r="352" spans="3:24">
      <c r="C352" s="12"/>
      <c r="D352" s="1"/>
      <c r="E352" s="1"/>
      <c r="F352" s="1"/>
      <c r="G352" s="11" t="str">
        <f t="shared" si="36"/>
        <v/>
      </c>
      <c r="H352" s="11" t="str">
        <f t="shared" si="38"/>
        <v/>
      </c>
      <c r="I352" s="15" t="str">
        <f>IFERROR(INDEX('2024ds'!$B$2:$B$368, MATCH($B352, '2024ds'!$A$2:$A$368, 0)), "")</f>
        <v/>
      </c>
      <c r="J352" s="1" t="str">
        <f>IFERROR(INDEX('2024ds'!$C$2:$C$368, MATCH($B352, '2024ds'!$A$2:$A$368, 0)), "")</f>
        <v/>
      </c>
      <c r="K352" s="22" t="str">
        <f>IFERROR(INDEX('2024ds'!$D$2:$D$368, MATCH($B352, '2024ds'!$A$2:$A$368, 0)), "")</f>
        <v/>
      </c>
      <c r="L352" s="21" t="str">
        <f t="shared" si="39"/>
        <v/>
      </c>
      <c r="U352" s="3" t="str">
        <f t="shared" si="40"/>
        <v/>
      </c>
      <c r="V352" s="4" t="str">
        <f t="shared" si="41"/>
        <v/>
      </c>
      <c r="W352" s="4" t="str">
        <f t="shared" si="42"/>
        <v/>
      </c>
      <c r="X352" t="str">
        <f t="shared" si="37"/>
        <v/>
      </c>
    </row>
    <row r="353" spans="3:24">
      <c r="C353" s="12"/>
      <c r="D353" s="1"/>
      <c r="E353" s="1"/>
      <c r="F353" s="1"/>
      <c r="G353" s="11" t="str">
        <f t="shared" si="36"/>
        <v/>
      </c>
      <c r="H353" s="11" t="str">
        <f t="shared" si="38"/>
        <v/>
      </c>
      <c r="I353" s="15" t="str">
        <f>IFERROR(INDEX('2024ds'!$B$2:$B$368, MATCH($B353, '2024ds'!$A$2:$A$368, 0)), "")</f>
        <v/>
      </c>
      <c r="J353" s="1" t="str">
        <f>IFERROR(INDEX('2024ds'!$C$2:$C$368, MATCH($B353, '2024ds'!$A$2:$A$368, 0)), "")</f>
        <v/>
      </c>
      <c r="K353" s="22" t="str">
        <f>IFERROR(INDEX('2024ds'!$D$2:$D$368, MATCH($B353, '2024ds'!$A$2:$A$368, 0)), "")</f>
        <v/>
      </c>
      <c r="L353" s="21" t="str">
        <f t="shared" si="39"/>
        <v/>
      </c>
      <c r="U353" s="3" t="str">
        <f t="shared" si="40"/>
        <v/>
      </c>
      <c r="V353" s="4" t="str">
        <f t="shared" si="41"/>
        <v/>
      </c>
      <c r="W353" s="4" t="str">
        <f t="shared" si="42"/>
        <v/>
      </c>
      <c r="X353" t="str">
        <f t="shared" si="37"/>
        <v/>
      </c>
    </row>
    <row r="354" spans="3:24">
      <c r="C354" s="12"/>
      <c r="D354" s="1"/>
      <c r="E354" s="1"/>
      <c r="F354" s="1"/>
      <c r="G354" s="11" t="str">
        <f t="shared" si="36"/>
        <v/>
      </c>
      <c r="H354" s="11" t="str">
        <f t="shared" si="38"/>
        <v/>
      </c>
      <c r="I354" s="15" t="str">
        <f>IFERROR(INDEX('2024ds'!$B$2:$B$368, MATCH($B354, '2024ds'!$A$2:$A$368, 0)), "")</f>
        <v/>
      </c>
      <c r="J354" s="1" t="str">
        <f>IFERROR(INDEX('2024ds'!$C$2:$C$368, MATCH($B354, '2024ds'!$A$2:$A$368, 0)), "")</f>
        <v/>
      </c>
      <c r="K354" s="22" t="str">
        <f>IFERROR(INDEX('2024ds'!$D$2:$D$368, MATCH($B354, '2024ds'!$A$2:$A$368, 0)), "")</f>
        <v/>
      </c>
      <c r="L354" s="21" t="str">
        <f t="shared" si="39"/>
        <v/>
      </c>
      <c r="U354" s="3" t="str">
        <f t="shared" si="40"/>
        <v/>
      </c>
      <c r="V354" s="4" t="str">
        <f t="shared" si="41"/>
        <v/>
      </c>
      <c r="W354" s="4" t="str">
        <f t="shared" si="42"/>
        <v/>
      </c>
      <c r="X354" t="str">
        <f t="shared" si="37"/>
        <v/>
      </c>
    </row>
    <row r="355" spans="3:24">
      <c r="C355" s="12"/>
      <c r="D355" s="1"/>
      <c r="E355" s="1"/>
      <c r="F355" s="1"/>
      <c r="G355" s="11" t="str">
        <f t="shared" si="36"/>
        <v/>
      </c>
      <c r="H355" s="11" t="str">
        <f t="shared" si="38"/>
        <v/>
      </c>
      <c r="I355" s="15" t="str">
        <f>IFERROR(INDEX('2024ds'!$B$2:$B$368, MATCH($B355, '2024ds'!$A$2:$A$368, 0)), "")</f>
        <v/>
      </c>
      <c r="J355" s="1" t="str">
        <f>IFERROR(INDEX('2024ds'!$C$2:$C$368, MATCH($B355, '2024ds'!$A$2:$A$368, 0)), "")</f>
        <v/>
      </c>
      <c r="K355" s="22" t="str">
        <f>IFERROR(INDEX('2024ds'!$D$2:$D$368, MATCH($B355, '2024ds'!$A$2:$A$368, 0)), "")</f>
        <v/>
      </c>
      <c r="L355" s="21" t="str">
        <f t="shared" si="39"/>
        <v/>
      </c>
      <c r="U355" s="3" t="str">
        <f t="shared" si="40"/>
        <v/>
      </c>
      <c r="V355" s="4" t="str">
        <f t="shared" si="41"/>
        <v/>
      </c>
      <c r="W355" s="4" t="str">
        <f t="shared" si="42"/>
        <v/>
      </c>
      <c r="X355" t="str">
        <f t="shared" si="37"/>
        <v/>
      </c>
    </row>
    <row r="356" spans="3:24">
      <c r="C356" s="12"/>
      <c r="D356" s="1"/>
      <c r="E356" s="1"/>
      <c r="F356" s="1"/>
      <c r="G356" s="11" t="str">
        <f t="shared" si="36"/>
        <v/>
      </c>
      <c r="H356" s="11" t="str">
        <f t="shared" si="38"/>
        <v/>
      </c>
      <c r="I356" s="15" t="str">
        <f>IFERROR(INDEX('2024ds'!$B$2:$B$368, MATCH($B356, '2024ds'!$A$2:$A$368, 0)), "")</f>
        <v/>
      </c>
      <c r="J356" s="1" t="str">
        <f>IFERROR(INDEX('2024ds'!$C$2:$C$368, MATCH($B356, '2024ds'!$A$2:$A$368, 0)), "")</f>
        <v/>
      </c>
      <c r="K356" s="22" t="str">
        <f>IFERROR(INDEX('2024ds'!$D$2:$D$368, MATCH($B356, '2024ds'!$A$2:$A$368, 0)), "")</f>
        <v/>
      </c>
      <c r="L356" s="21" t="str">
        <f t="shared" si="39"/>
        <v/>
      </c>
      <c r="U356" s="3" t="str">
        <f t="shared" si="40"/>
        <v/>
      </c>
      <c r="V356" s="4" t="str">
        <f t="shared" si="41"/>
        <v/>
      </c>
      <c r="W356" s="4" t="str">
        <f t="shared" si="42"/>
        <v/>
      </c>
      <c r="X356" t="str">
        <f t="shared" si="37"/>
        <v/>
      </c>
    </row>
    <row r="357" spans="3:24">
      <c r="C357" s="12"/>
      <c r="D357" s="1"/>
      <c r="E357" s="1"/>
      <c r="F357" s="1"/>
      <c r="G357" s="11" t="str">
        <f t="shared" si="36"/>
        <v/>
      </c>
      <c r="H357" s="11" t="str">
        <f t="shared" si="38"/>
        <v/>
      </c>
      <c r="I357" s="15" t="str">
        <f>IFERROR(INDEX('2024ds'!$B$2:$B$368, MATCH($B357, '2024ds'!$A$2:$A$368, 0)), "")</f>
        <v/>
      </c>
      <c r="J357" s="1" t="str">
        <f>IFERROR(INDEX('2024ds'!$C$2:$C$368, MATCH($B357, '2024ds'!$A$2:$A$368, 0)), "")</f>
        <v/>
      </c>
      <c r="K357" s="22" t="str">
        <f>IFERROR(INDEX('2024ds'!$D$2:$D$368, MATCH($B357, '2024ds'!$A$2:$A$368, 0)), "")</f>
        <v/>
      </c>
      <c r="L357" s="21" t="str">
        <f t="shared" si="39"/>
        <v/>
      </c>
      <c r="U357" s="3" t="str">
        <f t="shared" si="40"/>
        <v/>
      </c>
      <c r="V357" s="4" t="str">
        <f t="shared" si="41"/>
        <v/>
      </c>
      <c r="W357" s="4" t="str">
        <f t="shared" si="42"/>
        <v/>
      </c>
      <c r="X357" t="str">
        <f t="shared" si="37"/>
        <v/>
      </c>
    </row>
    <row r="358" spans="3:24">
      <c r="C358" s="12"/>
      <c r="D358" s="1"/>
      <c r="E358" s="1"/>
      <c r="F358" s="1"/>
      <c r="G358" s="11" t="str">
        <f t="shared" si="36"/>
        <v/>
      </c>
      <c r="H358" s="11" t="str">
        <f t="shared" si="38"/>
        <v/>
      </c>
      <c r="I358" s="15" t="str">
        <f>IFERROR(INDEX('2024ds'!$B$2:$B$368, MATCH($B358, '2024ds'!$A$2:$A$368, 0)), "")</f>
        <v/>
      </c>
      <c r="J358" s="1" t="str">
        <f>IFERROR(INDEX('2024ds'!$C$2:$C$368, MATCH($B358, '2024ds'!$A$2:$A$368, 0)), "")</f>
        <v/>
      </c>
      <c r="K358" s="22" t="str">
        <f>IFERROR(INDEX('2024ds'!$D$2:$D$368, MATCH($B358, '2024ds'!$A$2:$A$368, 0)), "")</f>
        <v/>
      </c>
      <c r="L358" s="21" t="str">
        <f t="shared" si="39"/>
        <v/>
      </c>
      <c r="U358" s="3" t="str">
        <f t="shared" si="40"/>
        <v/>
      </c>
      <c r="V358" s="4" t="str">
        <f t="shared" si="41"/>
        <v/>
      </c>
      <c r="W358" s="4" t="str">
        <f t="shared" si="42"/>
        <v/>
      </c>
      <c r="X358" t="str">
        <f t="shared" si="37"/>
        <v/>
      </c>
    </row>
    <row r="359" spans="3:24">
      <c r="C359" s="12"/>
      <c r="D359" s="1"/>
      <c r="E359" s="1"/>
      <c r="F359" s="1"/>
      <c r="G359" s="11" t="str">
        <f t="shared" si="36"/>
        <v/>
      </c>
      <c r="H359" s="11" t="str">
        <f t="shared" si="38"/>
        <v/>
      </c>
      <c r="I359" s="15" t="str">
        <f>IFERROR(INDEX('2024ds'!$B$2:$B$368, MATCH($B359, '2024ds'!$A$2:$A$368, 0)), "")</f>
        <v/>
      </c>
      <c r="J359" s="1" t="str">
        <f>IFERROR(INDEX('2024ds'!$C$2:$C$368, MATCH($B359, '2024ds'!$A$2:$A$368, 0)), "")</f>
        <v/>
      </c>
      <c r="K359" s="22" t="str">
        <f>IFERROR(INDEX('2024ds'!$D$2:$D$368, MATCH($B359, '2024ds'!$A$2:$A$368, 0)), "")</f>
        <v/>
      </c>
      <c r="L359" s="21" t="str">
        <f t="shared" si="39"/>
        <v/>
      </c>
      <c r="U359" s="3" t="str">
        <f t="shared" si="40"/>
        <v/>
      </c>
      <c r="V359" s="4" t="str">
        <f t="shared" si="41"/>
        <v/>
      </c>
      <c r="W359" s="4" t="str">
        <f t="shared" si="42"/>
        <v/>
      </c>
      <c r="X359" t="str">
        <f t="shared" si="37"/>
        <v/>
      </c>
    </row>
    <row r="360" spans="3:24">
      <c r="C360" s="12"/>
      <c r="D360" s="1"/>
      <c r="E360" s="1"/>
      <c r="F360" s="1"/>
      <c r="G360" s="11" t="str">
        <f t="shared" si="36"/>
        <v/>
      </c>
      <c r="H360" s="11" t="str">
        <f t="shared" si="38"/>
        <v/>
      </c>
      <c r="I360" s="15" t="str">
        <f>IFERROR(INDEX('2024ds'!$B$2:$B$368, MATCH($B360, '2024ds'!$A$2:$A$368, 0)), "")</f>
        <v/>
      </c>
      <c r="J360" s="1" t="str">
        <f>IFERROR(INDEX('2024ds'!$C$2:$C$368, MATCH($B360, '2024ds'!$A$2:$A$368, 0)), "")</f>
        <v/>
      </c>
      <c r="K360" s="22" t="str">
        <f>IFERROR(INDEX('2024ds'!$D$2:$D$368, MATCH($B360, '2024ds'!$A$2:$A$368, 0)), "")</f>
        <v/>
      </c>
      <c r="L360" s="21" t="str">
        <f t="shared" si="39"/>
        <v/>
      </c>
      <c r="U360" s="3" t="str">
        <f t="shared" si="40"/>
        <v/>
      </c>
      <c r="V360" s="4" t="str">
        <f t="shared" si="41"/>
        <v/>
      </c>
      <c r="W360" s="4" t="str">
        <f t="shared" si="42"/>
        <v/>
      </c>
      <c r="X360" t="str">
        <f t="shared" si="37"/>
        <v/>
      </c>
    </row>
    <row r="361" spans="3:24">
      <c r="C361" s="12"/>
      <c r="D361" s="1"/>
      <c r="E361" s="1"/>
      <c r="F361" s="1"/>
      <c r="G361" s="11" t="str">
        <f t="shared" si="36"/>
        <v/>
      </c>
      <c r="H361" s="11" t="str">
        <f t="shared" si="38"/>
        <v/>
      </c>
      <c r="I361" s="15" t="str">
        <f>IFERROR(INDEX('2024ds'!$B$2:$B$368, MATCH($B361, '2024ds'!$A$2:$A$368, 0)), "")</f>
        <v/>
      </c>
      <c r="J361" s="1" t="str">
        <f>IFERROR(INDEX('2024ds'!$C$2:$C$368, MATCH($B361, '2024ds'!$A$2:$A$368, 0)), "")</f>
        <v/>
      </c>
      <c r="K361" s="22" t="str">
        <f>IFERROR(INDEX('2024ds'!$D$2:$D$368, MATCH($B361, '2024ds'!$A$2:$A$368, 0)), "")</f>
        <v/>
      </c>
      <c r="L361" s="21" t="str">
        <f t="shared" si="39"/>
        <v/>
      </c>
      <c r="U361" s="3" t="str">
        <f t="shared" si="40"/>
        <v/>
      </c>
      <c r="V361" s="4" t="str">
        <f t="shared" si="41"/>
        <v/>
      </c>
      <c r="W361" s="4" t="str">
        <f t="shared" si="42"/>
        <v/>
      </c>
      <c r="X361" t="str">
        <f t="shared" si="37"/>
        <v/>
      </c>
    </row>
    <row r="362" spans="3:24">
      <c r="C362" s="12"/>
      <c r="D362" s="1"/>
      <c r="E362" s="1"/>
      <c r="F362" s="1"/>
      <c r="G362" s="11" t="str">
        <f t="shared" si="36"/>
        <v/>
      </c>
      <c r="H362" s="11" t="str">
        <f t="shared" si="38"/>
        <v/>
      </c>
      <c r="I362" s="15" t="str">
        <f>IFERROR(INDEX('2024ds'!$B$2:$B$368, MATCH($B362, '2024ds'!$A$2:$A$368, 0)), "")</f>
        <v/>
      </c>
      <c r="J362" s="1" t="str">
        <f>IFERROR(INDEX('2024ds'!$C$2:$C$368, MATCH($B362, '2024ds'!$A$2:$A$368, 0)), "")</f>
        <v/>
      </c>
      <c r="K362" s="22" t="str">
        <f>IFERROR(INDEX('2024ds'!$D$2:$D$368, MATCH($B362, '2024ds'!$A$2:$A$368, 0)), "")</f>
        <v/>
      </c>
      <c r="L362" s="21" t="str">
        <f t="shared" si="39"/>
        <v/>
      </c>
      <c r="U362" s="3" t="str">
        <f t="shared" si="40"/>
        <v/>
      </c>
      <c r="V362" s="4" t="str">
        <f t="shared" si="41"/>
        <v/>
      </c>
      <c r="W362" s="4" t="str">
        <f t="shared" si="42"/>
        <v/>
      </c>
      <c r="X362" t="str">
        <f t="shared" si="37"/>
        <v/>
      </c>
    </row>
    <row r="363" spans="3:24">
      <c r="C363" s="12"/>
      <c r="D363" s="1"/>
      <c r="E363" s="1"/>
      <c r="F363" s="1"/>
      <c r="G363" s="11" t="str">
        <f t="shared" si="36"/>
        <v/>
      </c>
      <c r="H363" s="11" t="str">
        <f t="shared" si="38"/>
        <v/>
      </c>
      <c r="I363" s="15" t="str">
        <f>IFERROR(INDEX('2024ds'!$B$2:$B$368, MATCH($B363, '2024ds'!$A$2:$A$368, 0)), "")</f>
        <v/>
      </c>
      <c r="J363" s="1" t="str">
        <f>IFERROR(INDEX('2024ds'!$C$2:$C$368, MATCH($B363, '2024ds'!$A$2:$A$368, 0)), "")</f>
        <v/>
      </c>
      <c r="K363" s="22" t="str">
        <f>IFERROR(INDEX('2024ds'!$D$2:$D$368, MATCH($B363, '2024ds'!$A$2:$A$368, 0)), "")</f>
        <v/>
      </c>
      <c r="L363" s="21" t="str">
        <f t="shared" si="39"/>
        <v/>
      </c>
      <c r="U363" s="3" t="str">
        <f t="shared" si="40"/>
        <v/>
      </c>
      <c r="V363" s="4" t="str">
        <f t="shared" si="41"/>
        <v/>
      </c>
      <c r="W363" s="4" t="str">
        <f t="shared" si="42"/>
        <v/>
      </c>
      <c r="X363" t="str">
        <f t="shared" si="37"/>
        <v/>
      </c>
    </row>
    <row r="364" spans="3:24">
      <c r="C364" s="12"/>
      <c r="D364" s="1"/>
      <c r="E364" s="1"/>
      <c r="F364" s="1"/>
      <c r="G364" s="11" t="str">
        <f t="shared" si="36"/>
        <v/>
      </c>
      <c r="H364" s="11" t="str">
        <f t="shared" si="38"/>
        <v/>
      </c>
      <c r="I364" s="15" t="str">
        <f>IFERROR(INDEX('2024ds'!$B$2:$B$368, MATCH($B364, '2024ds'!$A$2:$A$368, 0)), "")</f>
        <v/>
      </c>
      <c r="J364" s="1" t="str">
        <f>IFERROR(INDEX('2024ds'!$C$2:$C$368, MATCH($B364, '2024ds'!$A$2:$A$368, 0)), "")</f>
        <v/>
      </c>
      <c r="K364" s="22" t="str">
        <f>IFERROR(INDEX('2024ds'!$D$2:$D$368, MATCH($B364, '2024ds'!$A$2:$A$368, 0)), "")</f>
        <v/>
      </c>
      <c r="L364" s="21" t="str">
        <f t="shared" si="39"/>
        <v/>
      </c>
      <c r="U364" s="3" t="str">
        <f t="shared" si="40"/>
        <v/>
      </c>
      <c r="V364" s="4" t="str">
        <f t="shared" si="41"/>
        <v/>
      </c>
      <c r="W364" s="4" t="str">
        <f t="shared" si="42"/>
        <v/>
      </c>
      <c r="X364" t="str">
        <f t="shared" si="37"/>
        <v/>
      </c>
    </row>
    <row r="365" spans="3:24">
      <c r="C365" s="12"/>
      <c r="D365" s="1"/>
      <c r="E365" s="1"/>
      <c r="F365" s="1"/>
      <c r="G365" s="11" t="str">
        <f t="shared" si="36"/>
        <v/>
      </c>
      <c r="H365" s="11" t="str">
        <f t="shared" si="38"/>
        <v/>
      </c>
      <c r="I365" s="15" t="str">
        <f>IFERROR(INDEX('2024ds'!$B$2:$B$368, MATCH($B365, '2024ds'!$A$2:$A$368, 0)), "")</f>
        <v/>
      </c>
      <c r="J365" s="1" t="str">
        <f>IFERROR(INDEX('2024ds'!$C$2:$C$368, MATCH($B365, '2024ds'!$A$2:$A$368, 0)), "")</f>
        <v/>
      </c>
      <c r="K365" s="22" t="str">
        <f>IFERROR(INDEX('2024ds'!$D$2:$D$368, MATCH($B365, '2024ds'!$A$2:$A$368, 0)), "")</f>
        <v/>
      </c>
      <c r="L365" s="21" t="str">
        <f t="shared" si="39"/>
        <v/>
      </c>
      <c r="U365" s="3" t="str">
        <f t="shared" si="40"/>
        <v/>
      </c>
      <c r="V365" s="4" t="str">
        <f t="shared" si="41"/>
        <v/>
      </c>
      <c r="W365" s="4" t="str">
        <f t="shared" si="42"/>
        <v/>
      </c>
      <c r="X365" t="str">
        <f t="shared" si="37"/>
        <v/>
      </c>
    </row>
    <row r="366" spans="3:24">
      <c r="C366" s="12"/>
      <c r="D366" s="1"/>
      <c r="E366" s="1"/>
      <c r="F366" s="1"/>
      <c r="G366" s="11" t="str">
        <f t="shared" si="36"/>
        <v/>
      </c>
      <c r="H366" s="11" t="str">
        <f t="shared" si="38"/>
        <v/>
      </c>
      <c r="I366" s="15" t="str">
        <f>IFERROR(INDEX('2024ds'!$B$2:$B$368, MATCH($B366, '2024ds'!$A$2:$A$368, 0)), "")</f>
        <v/>
      </c>
      <c r="J366" s="1" t="str">
        <f>IFERROR(INDEX('2024ds'!$C$2:$C$368, MATCH($B366, '2024ds'!$A$2:$A$368, 0)), "")</f>
        <v/>
      </c>
      <c r="K366" s="22" t="str">
        <f>IFERROR(INDEX('2024ds'!$D$2:$D$368, MATCH($B366, '2024ds'!$A$2:$A$368, 0)), "")</f>
        <v/>
      </c>
      <c r="L366" s="21" t="str">
        <f t="shared" si="39"/>
        <v/>
      </c>
      <c r="U366" s="3" t="str">
        <f t="shared" si="40"/>
        <v/>
      </c>
      <c r="V366" s="4" t="str">
        <f t="shared" si="41"/>
        <v/>
      </c>
      <c r="W366" s="4" t="str">
        <f t="shared" si="42"/>
        <v/>
      </c>
      <c r="X366" t="str">
        <f t="shared" si="37"/>
        <v/>
      </c>
    </row>
    <row r="367" spans="3:24">
      <c r="C367" s="12"/>
      <c r="D367" s="1"/>
      <c r="E367" s="1"/>
      <c r="F367" s="1"/>
      <c r="G367" s="11" t="str">
        <f t="shared" si="36"/>
        <v/>
      </c>
      <c r="H367" s="11" t="str">
        <f t="shared" si="38"/>
        <v/>
      </c>
      <c r="I367" s="15" t="str">
        <f>IFERROR(INDEX('2024ds'!$B$2:$B$368, MATCH($B367, '2024ds'!$A$2:$A$368, 0)), "")</f>
        <v/>
      </c>
      <c r="J367" s="1" t="str">
        <f>IFERROR(INDEX('2024ds'!$C$2:$C$368, MATCH($B367, '2024ds'!$A$2:$A$368, 0)), "")</f>
        <v/>
      </c>
      <c r="K367" s="22" t="str">
        <f>IFERROR(INDEX('2024ds'!$D$2:$D$368, MATCH($B367, '2024ds'!$A$2:$A$368, 0)), "")</f>
        <v/>
      </c>
      <c r="L367" s="21" t="str">
        <f t="shared" si="39"/>
        <v/>
      </c>
      <c r="U367" s="3" t="str">
        <f t="shared" si="40"/>
        <v/>
      </c>
      <c r="V367" s="4" t="str">
        <f t="shared" si="41"/>
        <v/>
      </c>
      <c r="W367" s="4" t="str">
        <f t="shared" si="42"/>
        <v/>
      </c>
      <c r="X367" t="str">
        <f t="shared" si="37"/>
        <v/>
      </c>
    </row>
    <row r="368" spans="3:24">
      <c r="C368" s="12"/>
      <c r="D368" s="1"/>
      <c r="E368" s="1"/>
      <c r="F368" s="1"/>
      <c r="G368" s="11" t="str">
        <f t="shared" si="36"/>
        <v/>
      </c>
      <c r="H368" s="11" t="str">
        <f t="shared" si="38"/>
        <v/>
      </c>
      <c r="I368" s="15" t="str">
        <f>IFERROR(INDEX('2024ds'!$B$2:$B$368, MATCH($B368, '2024ds'!$A$2:$A$368, 0)), "")</f>
        <v/>
      </c>
      <c r="J368" s="1" t="str">
        <f>IFERROR(INDEX('2024ds'!$C$2:$C$368, MATCH($B368, '2024ds'!$A$2:$A$368, 0)), "")</f>
        <v/>
      </c>
      <c r="K368" s="22" t="str">
        <f>IFERROR(INDEX('2024ds'!$D$2:$D$368, MATCH($B368, '2024ds'!$A$2:$A$368, 0)), "")</f>
        <v/>
      </c>
      <c r="L368" s="21" t="str">
        <f t="shared" si="39"/>
        <v/>
      </c>
      <c r="U368" s="3" t="str">
        <f t="shared" si="40"/>
        <v/>
      </c>
      <c r="V368" s="4" t="str">
        <f t="shared" si="41"/>
        <v/>
      </c>
      <c r="W368" s="4" t="str">
        <f t="shared" si="42"/>
        <v/>
      </c>
      <c r="X368" t="str">
        <f t="shared" si="37"/>
        <v/>
      </c>
    </row>
    <row r="369" spans="23:23">
      <c r="W369" s="4" t="str">
        <f t="shared" si="42"/>
        <v/>
      </c>
    </row>
  </sheetData>
  <conditionalFormatting sqref="R2:R3">
    <cfRule type="colorScale" priority="5">
      <colorScale>
        <cfvo type="num" val="0"/>
        <cfvo type="num" val="480"/>
        <cfvo type="num" val="800"/>
        <color rgb="FF00B050"/>
        <color rgb="FFFFEB84"/>
        <color rgb="FFFF7C80"/>
      </colorScale>
    </cfRule>
  </conditionalFormatting>
  <conditionalFormatting sqref="F10:F368">
    <cfRule type="cellIs" dxfId="34" priority="2" operator="greaterThan">
      <formula>148</formula>
    </cfRule>
  </conditionalFormatting>
  <conditionalFormatting sqref="E10:E368">
    <cfRule type="cellIs" dxfId="33" priority="1" operator="greaterThan">
      <formula>170</formula>
    </cfRule>
  </conditionalFormatting>
  <conditionalFormatting sqref="H2:H368">
    <cfRule type="colorScale" priority="6">
      <colorScale>
        <cfvo type="min"/>
        <cfvo type="max"/>
        <color theme="0"/>
        <color rgb="FFFF4B4B"/>
      </colorScale>
    </cfRule>
  </conditionalFormatting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8F081-8C01-4396-AB4D-BA06D24E453C}">
  <sheetPr codeName="Sheet2"/>
  <dimension ref="A1:H368"/>
  <sheetViews>
    <sheetView topLeftCell="A2" workbookViewId="0">
      <selection activeCell="F4" sqref="F4"/>
    </sheetView>
  </sheetViews>
  <sheetFormatPr defaultRowHeight="14.4"/>
  <cols>
    <col min="1" max="1" width="6.109375" customWidth="1"/>
    <col min="2" max="3" width="8.109375" customWidth="1"/>
    <col min="4" max="4" width="18.109375" customWidth="1"/>
    <col min="5" max="5" width="17.33203125" customWidth="1"/>
    <col min="6" max="6" width="11.44140625" customWidth="1"/>
    <col min="7" max="7" width="9.33203125" bestFit="1" customWidth="1"/>
  </cols>
  <sheetData>
    <row r="1" spans="1:8">
      <c r="A1" s="10" t="s">
        <v>36</v>
      </c>
      <c r="B1" s="10" t="s">
        <v>10</v>
      </c>
      <c r="C1" s="10" t="s">
        <v>29</v>
      </c>
      <c r="D1" s="10" t="s">
        <v>8</v>
      </c>
      <c r="E1" s="10" t="s">
        <v>35</v>
      </c>
      <c r="F1" s="10" t="s">
        <v>30</v>
      </c>
      <c r="G1" s="10" t="s">
        <v>11</v>
      </c>
      <c r="H1" s="10" t="s">
        <v>23</v>
      </c>
    </row>
    <row r="2" spans="1:8">
      <c r="A2">
        <v>23</v>
      </c>
      <c r="B2">
        <v>2</v>
      </c>
      <c r="C2" t="s">
        <v>2</v>
      </c>
      <c r="D2" t="s">
        <v>18</v>
      </c>
      <c r="E2" t="s">
        <v>37</v>
      </c>
      <c r="F2" s="16">
        <f>IFERROR(IF(ISBLANK('2024'!A2), F1,INDEX('2024'!$A$2:$A$369, MATCH(A2, '2024'!$B$2:$B$369, 0)) - WEEKDAY(INDEX('2024'!$A$2:$A$369, MATCH(A2, '2024'!$B$2:$B$369, 0)), 2) + 1), "")</f>
        <v>45495</v>
      </c>
      <c r="G2" s="15">
        <f>IF(F2=F1, "", SUMIFS('2024'!D:D,F:F, F2))</f>
        <v>12.25</v>
      </c>
      <c r="H2" s="3">
        <f>IF(F2=F1, "", SUMIFS('2024'!T:T,F:F, F2))</f>
        <v>0.16891203703703703</v>
      </c>
    </row>
    <row r="3" spans="1:8">
      <c r="A3">
        <v>24</v>
      </c>
      <c r="B3">
        <v>3</v>
      </c>
      <c r="C3" t="s">
        <v>2</v>
      </c>
      <c r="D3" t="s">
        <v>19</v>
      </c>
      <c r="E3" t="s">
        <v>38</v>
      </c>
      <c r="F3" s="16">
        <f>IFERROR(IF(ISBLANK('2024'!A3), F2,INDEX('2024'!$A$2:$A$369, MATCH(A3, '2024'!$B$2:$B$369, 0)) - WEEKDAY(INDEX('2024'!$A$2:$A$369, MATCH(A3, '2024'!$B$2:$B$369, 0)), 2) + 1), "")</f>
        <v>45495</v>
      </c>
      <c r="G3" s="15" t="str">
        <f>IF(F3=F2, "", SUMIFS('2024'!D:D,F:F, F3))</f>
        <v/>
      </c>
      <c r="H3" s="3" t="str">
        <f>IF(F3=F2, "", SUMIFS('2024'!T:T,F:F, F3))</f>
        <v/>
      </c>
    </row>
    <row r="4" spans="1:8">
      <c r="A4">
        <v>25</v>
      </c>
      <c r="B4">
        <v>3</v>
      </c>
      <c r="C4" t="s">
        <v>2</v>
      </c>
      <c r="D4" t="s">
        <v>28</v>
      </c>
      <c r="F4" s="16">
        <f>IFERROR(IF(ISBLANK('2024'!A4), F3,INDEX('2024'!$A$2:$A$369, MATCH(A4, '2024'!$B$2:$B$369, 0)) - WEEKDAY(INDEX('2024'!$A$2:$A$369, MATCH(A4, '2024'!$B$2:$B$369, 0)), 2) + 1), "")</f>
        <v>-5</v>
      </c>
      <c r="G4" s="15">
        <f>IF(F4=F3, "", SUMIFS('2024'!D:D,F:F, F4))</f>
        <v>12.01</v>
      </c>
      <c r="H4" s="3">
        <f>IF(F4=F3, "", SUMIFS('2024'!T:T,F:F, F4))</f>
        <v>0</v>
      </c>
    </row>
    <row r="5" spans="1:8">
      <c r="A5">
        <v>26</v>
      </c>
      <c r="B5">
        <v>7</v>
      </c>
      <c r="C5" t="s">
        <v>1</v>
      </c>
      <c r="D5" t="s">
        <v>26</v>
      </c>
      <c r="E5" t="s">
        <v>39</v>
      </c>
      <c r="F5" s="16">
        <f>IFERROR(IF(ISBLANK('2024'!A5), F4,INDEX('2024'!$A$2:$A$369, MATCH(A5, '2024'!$B$2:$B$369, 0)) - WEEKDAY(INDEX('2024'!$A$2:$A$369, MATCH(A5, '2024'!$B$2:$B$369, 0)), 2) + 1), "")</f>
        <v>45495</v>
      </c>
      <c r="G5" s="15">
        <f>IF(F5=F4, "", SUMIFS('2024'!D:D,F:F, F5))</f>
        <v>12.25</v>
      </c>
      <c r="H5" s="3">
        <f>IF(F5=F4, "", SUMIFS('2024'!T:T,F:F, F5))</f>
        <v>0.16891203703703703</v>
      </c>
    </row>
    <row r="6" spans="1:8">
      <c r="A6">
        <v>27</v>
      </c>
      <c r="B6">
        <v>5</v>
      </c>
      <c r="C6" t="s">
        <v>2</v>
      </c>
      <c r="D6" t="s">
        <v>27</v>
      </c>
      <c r="E6" t="s">
        <v>40</v>
      </c>
      <c r="F6" s="16">
        <f>IFERROR(IF(ISBLANK('2024'!A6), F5,INDEX('2024'!$A$2:$A$369, MATCH(A6, '2024'!$B$2:$B$369, 0)) - WEEKDAY(INDEX('2024'!$A$2:$A$369, MATCH(A6, '2024'!$B$2:$B$369, 0)), 2) + 1), "")</f>
        <v>45495</v>
      </c>
      <c r="G6" s="15" t="str">
        <f>IF(F6=F5, "", SUMIFS('2024'!D:D,F:F, F6))</f>
        <v/>
      </c>
      <c r="H6" s="3" t="str">
        <f>IF(F6=F5, "", SUMIFS('2024'!T:T,F:F, F6))</f>
        <v/>
      </c>
    </row>
    <row r="7" spans="1:8">
      <c r="A7">
        <v>28</v>
      </c>
      <c r="F7" s="16" t="str">
        <f>IFERROR(IF(ISBLANK('2024'!A7), F6,INDEX('2024'!$A$2:$A$369, MATCH(A7, '2024'!$B$2:$B$369, 0)) - WEEKDAY(INDEX('2024'!$A$2:$A$369, MATCH(A7, '2024'!$B$2:$B$369, 0)), 2) + 1), "")</f>
        <v/>
      </c>
      <c r="G7" s="15">
        <f>IF(F7=F6, "", SUMIFS('2024'!D:D,F:F, F7))</f>
        <v>72.3</v>
      </c>
      <c r="H7" s="3">
        <f>IF(F7=F6, "", SUMIFS('2024'!T:T,F:F, F7))</f>
        <v>0</v>
      </c>
    </row>
    <row r="8" spans="1:8">
      <c r="A8">
        <v>29</v>
      </c>
      <c r="F8" s="16" t="str">
        <f>IFERROR(INDEX('2024'!$B$2:$B$369, MATCH(A8, '2024'!$A$2:$A$369, 0)) - WEEKDAY(INDEX('2024'!$B$2:$B$369, MATCH(A8, '2024'!$A$2:$A$369, 0)), 2) + 1, "")</f>
        <v/>
      </c>
      <c r="G8" s="15" t="str">
        <f>IF(F8=F7, "", SUMIFS( '2024'!C:C,F:F, F8))</f>
        <v/>
      </c>
      <c r="H8" s="3" t="str">
        <f>IF(F8=F7, "", SUMIFS( '2024'!U:U,F:F, F8))</f>
        <v/>
      </c>
    </row>
    <row r="9" spans="1:8">
      <c r="A9">
        <v>30</v>
      </c>
      <c r="F9" s="16" t="str">
        <f>IFERROR(INDEX('2024'!$B$2:$B$369, MATCH(A9, '2024'!$A$2:$A$369, 0)) - WEEKDAY(INDEX('2024'!$B$2:$B$369, MATCH(A9, '2024'!$A$2:$A$369, 0)), 2) + 1, "")</f>
        <v/>
      </c>
      <c r="G9" s="15" t="str">
        <f>IF(F9=F8, "", SUMIFS( '2024'!C:C,F:F, F9))</f>
        <v/>
      </c>
      <c r="H9" s="3" t="str">
        <f>IF(F9=F8, "", SUMIFS( '2024'!U:U,F:F, F9))</f>
        <v/>
      </c>
    </row>
    <row r="10" spans="1:8">
      <c r="A10">
        <v>31</v>
      </c>
      <c r="F10" s="16" t="str">
        <f>IFERROR(INDEX('2024'!$B$2:$B$369, MATCH(A10, '2024'!$A$2:$A$369, 0)) - WEEKDAY(INDEX('2024'!$B$2:$B$369, MATCH(A10, '2024'!$A$2:$A$369, 0)), 2) + 1, "")</f>
        <v/>
      </c>
      <c r="G10" s="15" t="str">
        <f>IF(F10=F9, "", SUMIFS( '2024'!C:C,F:F, F10))</f>
        <v/>
      </c>
      <c r="H10" s="3" t="str">
        <f>IF(F10=F9, "", SUMIFS( '2024'!U:U,F:F, F10))</f>
        <v/>
      </c>
    </row>
    <row r="11" spans="1:8">
      <c r="A11">
        <v>32</v>
      </c>
      <c r="F11" s="16" t="str">
        <f>IFERROR(INDEX('2024'!$B$2:$B$369, MATCH(A11, '2024'!$A$2:$A$369, 0)) - WEEKDAY(INDEX('2024'!$B$2:$B$369, MATCH(A11, '2024'!$A$2:$A$369, 0)), 2) + 1, "")</f>
        <v/>
      </c>
      <c r="G11" s="15" t="str">
        <f>IF(F11=F10, "", SUMIFS( '2024'!C:C,F:F, F11))</f>
        <v/>
      </c>
      <c r="H11" s="3" t="str">
        <f>IF(F11=F10, "", SUMIFS( '2024'!U:U,F:F, F11))</f>
        <v/>
      </c>
    </row>
    <row r="12" spans="1:8">
      <c r="A12">
        <v>33</v>
      </c>
      <c r="F12" s="16" t="str">
        <f>IFERROR(INDEX('2024'!$B$2:$B$369, MATCH(A12, '2024'!$A$2:$A$369, 0)) - WEEKDAY(INDEX('2024'!$B$2:$B$369, MATCH(A12, '2024'!$A$2:$A$369, 0)), 2) + 1, "")</f>
        <v/>
      </c>
      <c r="G12" s="15" t="str">
        <f>IF(F12=F11, "", SUMIFS( '2024'!C:C,F:F, F12))</f>
        <v/>
      </c>
      <c r="H12" s="3" t="str">
        <f>IF(F12=F11, "", SUMIFS( '2024'!U:U,F:F, F12))</f>
        <v/>
      </c>
    </row>
    <row r="13" spans="1:8">
      <c r="A13">
        <v>34</v>
      </c>
      <c r="F13" s="16" t="str">
        <f>IFERROR(INDEX('2024'!$B$2:$B$369, MATCH(A13, '2024'!$A$2:$A$369, 0)) - WEEKDAY(INDEX('2024'!$B$2:$B$369, MATCH(A13, '2024'!$A$2:$A$369, 0)), 2) + 1, "")</f>
        <v/>
      </c>
      <c r="G13" s="15" t="str">
        <f>IF(F13=F12, "", SUMIFS( '2024'!C:C,F:F, F13))</f>
        <v/>
      </c>
      <c r="H13" s="3" t="str">
        <f>IF(F13=F12, "", SUMIFS( '2024'!U:U,F:F, F13))</f>
        <v/>
      </c>
    </row>
    <row r="14" spans="1:8">
      <c r="A14">
        <v>35</v>
      </c>
      <c r="F14" s="16" t="str">
        <f>IFERROR(INDEX('2024'!$B$2:$B$369, MATCH(A14, '2024'!$A$2:$A$369, 0)) - WEEKDAY(INDEX('2024'!$B$2:$B$369, MATCH(A14, '2024'!$A$2:$A$369, 0)), 2) + 1, "")</f>
        <v/>
      </c>
      <c r="G14" s="15" t="str">
        <f>IF(F14=F13, "", SUMIFS( '2024'!C:C,F:F, F14))</f>
        <v/>
      </c>
      <c r="H14" s="3" t="str">
        <f>IF(F14=F13, "", SUMIFS( '2024'!U:U,F:F, F14))</f>
        <v/>
      </c>
    </row>
    <row r="15" spans="1:8">
      <c r="A15">
        <v>36</v>
      </c>
      <c r="F15" s="16" t="str">
        <f>IFERROR(INDEX('2024'!$B$2:$B$369, MATCH(A15, '2024'!$A$2:$A$369, 0)) - WEEKDAY(INDEX('2024'!$B$2:$B$369, MATCH(A15, '2024'!$A$2:$A$369, 0)), 2) + 1, "")</f>
        <v/>
      </c>
      <c r="G15" s="15" t="str">
        <f>IF(F15=F14, "", SUMIFS( '2024'!C:C,F:F, F15))</f>
        <v/>
      </c>
      <c r="H15" s="3" t="str">
        <f>IF(F15=F14, "", SUMIFS( '2024'!U:U,F:F, F15))</f>
        <v/>
      </c>
    </row>
    <row r="16" spans="1:8">
      <c r="A16">
        <v>37</v>
      </c>
      <c r="F16" s="16" t="str">
        <f>IFERROR(INDEX('2024'!$B$2:$B$369, MATCH(A16, '2024'!$A$2:$A$369, 0)) - WEEKDAY(INDEX('2024'!$B$2:$B$369, MATCH(A16, '2024'!$A$2:$A$369, 0)), 2) + 1, "")</f>
        <v/>
      </c>
      <c r="G16" s="15" t="str">
        <f>IF(F16=F15, "", SUMIFS( '2024'!C:C,F:F, F16))</f>
        <v/>
      </c>
      <c r="H16" s="3" t="str">
        <f>IF(F16=F15, "", SUMIFS( '2024'!U:U,F:F, F16))</f>
        <v/>
      </c>
    </row>
    <row r="17" spans="1:8">
      <c r="A17">
        <v>38</v>
      </c>
      <c r="F17" s="16" t="str">
        <f>IFERROR(INDEX('2024'!$B$2:$B$369, MATCH(A17, '2024'!$A$2:$A$369, 0)) - WEEKDAY(INDEX('2024'!$B$2:$B$369, MATCH(A17, '2024'!$A$2:$A$369, 0)), 2) + 1, "")</f>
        <v/>
      </c>
      <c r="G17" s="15" t="str">
        <f>IF(F17=F16, "", SUMIFS( '2024'!C:C,F:F, F17))</f>
        <v/>
      </c>
      <c r="H17" s="3" t="str">
        <f>IF(F17=F16, "", SUMIFS( '2024'!U:U,F:F, F17))</f>
        <v/>
      </c>
    </row>
    <row r="18" spans="1:8">
      <c r="A18">
        <v>39</v>
      </c>
      <c r="F18" s="16" t="str">
        <f>IFERROR(INDEX('2024'!$B$2:$B$369, MATCH(A18, '2024'!$A$2:$A$369, 0)) - WEEKDAY(INDEX('2024'!$B$2:$B$369, MATCH(A18, '2024'!$A$2:$A$369, 0)), 2) + 1, "")</f>
        <v/>
      </c>
      <c r="G18" s="15" t="str">
        <f>IF(F18=F17, "", SUMIFS( '2024'!C:C,F:F, F18))</f>
        <v/>
      </c>
      <c r="H18" s="3" t="str">
        <f>IF(F18=F17, "", SUMIFS( '2024'!U:U,F:F, F18))</f>
        <v/>
      </c>
    </row>
    <row r="19" spans="1:8">
      <c r="A19">
        <v>40</v>
      </c>
      <c r="F19" s="16" t="str">
        <f>IFERROR(INDEX('2024'!$B$2:$B$369, MATCH(A19, '2024'!$A$2:$A$369, 0)) - WEEKDAY(INDEX('2024'!$B$2:$B$369, MATCH(A19, '2024'!$A$2:$A$369, 0)), 2) + 1, "")</f>
        <v/>
      </c>
      <c r="G19" s="15" t="str">
        <f>IF(F19=F18, "", SUMIFS( '2024'!C:C,F:F, F19))</f>
        <v/>
      </c>
      <c r="H19" s="3" t="str">
        <f>IF(F19=F18, "", SUMIFS( '2024'!U:U,F:F, F19))</f>
        <v/>
      </c>
    </row>
    <row r="20" spans="1:8">
      <c r="A20">
        <v>41</v>
      </c>
      <c r="F20" s="16" t="str">
        <f>IFERROR(INDEX('2024'!$B$2:$B$369, MATCH(A20, '2024'!$A$2:$A$369, 0)) - WEEKDAY(INDEX('2024'!$B$2:$B$369, MATCH(A20, '2024'!$A$2:$A$369, 0)), 2) + 1, "")</f>
        <v/>
      </c>
      <c r="G20" s="15" t="str">
        <f>IF(F20=F19, "", SUMIFS( '2024'!C:C,F:F, F20))</f>
        <v/>
      </c>
      <c r="H20" s="3" t="str">
        <f>IF(F20=F19, "", SUMIFS( '2024'!U:U,F:F, F20))</f>
        <v/>
      </c>
    </row>
    <row r="21" spans="1:8">
      <c r="A21">
        <v>42</v>
      </c>
      <c r="F21" s="16" t="str">
        <f>IFERROR(INDEX('2024'!$B$2:$B$369, MATCH(A21, '2024'!$A$2:$A$369, 0)) - WEEKDAY(INDEX('2024'!$B$2:$B$369, MATCH(A21, '2024'!$A$2:$A$369, 0)), 2) + 1, "")</f>
        <v/>
      </c>
      <c r="G21" s="15" t="str">
        <f>IF(F21=F20, "", SUMIFS( '2024'!C:C,F:F, F21))</f>
        <v/>
      </c>
      <c r="H21" s="3" t="str">
        <f>IF(F21=F20, "", SUMIFS( '2024'!U:U,F:F, F21))</f>
        <v/>
      </c>
    </row>
    <row r="22" spans="1:8">
      <c r="A22">
        <v>43</v>
      </c>
      <c r="F22" s="16" t="str">
        <f>IFERROR(INDEX('2024'!$B$2:$B$369, MATCH(A22, '2024'!$A$2:$A$369, 0)) - WEEKDAY(INDEX('2024'!$B$2:$B$369, MATCH(A22, '2024'!$A$2:$A$369, 0)), 2) + 1, "")</f>
        <v/>
      </c>
      <c r="G22" s="15" t="str">
        <f>IF(F22=F21, "", SUMIFS( '2024'!C:C,F:F, F22))</f>
        <v/>
      </c>
      <c r="H22" s="3" t="str">
        <f>IF(F22=F21, "", SUMIFS( '2024'!U:U,F:F, F22))</f>
        <v/>
      </c>
    </row>
    <row r="23" spans="1:8">
      <c r="A23">
        <v>44</v>
      </c>
      <c r="F23" s="16" t="str">
        <f>IFERROR(INDEX('2024'!$B$2:$B$369, MATCH(A23, '2024'!$A$2:$A$369, 0)) - WEEKDAY(INDEX('2024'!$B$2:$B$369, MATCH(A23, '2024'!$A$2:$A$369, 0)), 2) + 1, "")</f>
        <v/>
      </c>
      <c r="G23" s="15" t="str">
        <f>IF(F23=F22, "", SUMIFS( '2024'!C:C,F:F, F23))</f>
        <v/>
      </c>
      <c r="H23" s="3" t="str">
        <f>IF(F23=F22, "", SUMIFS( '2024'!U:U,F:F, F23))</f>
        <v/>
      </c>
    </row>
    <row r="24" spans="1:8">
      <c r="A24">
        <v>45</v>
      </c>
      <c r="F24" s="16" t="str">
        <f>IFERROR(INDEX('2024'!$B$2:$B$369, MATCH(A24, '2024'!$A$2:$A$369, 0)) - WEEKDAY(INDEX('2024'!$B$2:$B$369, MATCH(A24, '2024'!$A$2:$A$369, 0)), 2) + 1, "")</f>
        <v/>
      </c>
      <c r="G24" s="15" t="str">
        <f>IF(F24=F23, "", SUMIFS( '2024'!C:C,F:F, F24))</f>
        <v/>
      </c>
      <c r="H24" s="3" t="str">
        <f>IF(F24=F23, "", SUMIFS( '2024'!U:U,F:F, F24))</f>
        <v/>
      </c>
    </row>
    <row r="25" spans="1:8">
      <c r="A25">
        <v>46</v>
      </c>
      <c r="F25" s="16" t="str">
        <f>IFERROR(INDEX('2024'!$B$2:$B$369, MATCH(A25, '2024'!$A$2:$A$369, 0)) - WEEKDAY(INDEX('2024'!$B$2:$B$369, MATCH(A25, '2024'!$A$2:$A$369, 0)), 2) + 1, "")</f>
        <v/>
      </c>
      <c r="G25" s="15" t="str">
        <f>IF(F25=F24, "", SUMIFS( '2024'!C:C,F:F, F25))</f>
        <v/>
      </c>
      <c r="H25" s="3" t="str">
        <f>IF(F25=F24, "", SUMIFS( '2024'!U:U,F:F, F25))</f>
        <v/>
      </c>
    </row>
    <row r="26" spans="1:8">
      <c r="F26" s="16" t="str">
        <f t="shared" ref="F26:F89" si="0">IF(ISNUMBER(A26), A26 - WEEKDAY(A26, 2) + 1, F25)</f>
        <v/>
      </c>
      <c r="G26" s="15" t="str">
        <f>IF(F26=F25, "", SUMIFS( '2024'!C:C,F:F, F26))</f>
        <v/>
      </c>
      <c r="H26" s="3" t="str">
        <f>IF(F26=F25, "", SUMIFS( '2024'!U:U,F:F, F26))</f>
        <v/>
      </c>
    </row>
    <row r="27" spans="1:8">
      <c r="F27" s="16" t="str">
        <f t="shared" si="0"/>
        <v/>
      </c>
      <c r="G27" s="15" t="str">
        <f>IF(F27=F26, "", SUMIFS( '2024'!C:C,F:F, F27))</f>
        <v/>
      </c>
      <c r="H27" s="3" t="str">
        <f>IF(F27=F26, "", SUMIFS( '2024'!U:U,F:F, F27))</f>
        <v/>
      </c>
    </row>
    <row r="28" spans="1:8">
      <c r="F28" s="16" t="str">
        <f t="shared" si="0"/>
        <v/>
      </c>
      <c r="G28" s="15" t="str">
        <f>IF(F28=F27, "", SUMIFS( '2024'!C:C,F:F, F28))</f>
        <v/>
      </c>
      <c r="H28" s="3" t="str">
        <f>IF(F28=F27, "", SUMIFS( '2024'!U:U,F:F, F28))</f>
        <v/>
      </c>
    </row>
    <row r="29" spans="1:8">
      <c r="F29" s="16" t="str">
        <f t="shared" si="0"/>
        <v/>
      </c>
      <c r="G29" s="15" t="str">
        <f>IF(F29=F28, "", SUMIFS( '2024'!C:C,F:F, F29))</f>
        <v/>
      </c>
      <c r="H29" s="3" t="str">
        <f>IF(F29=F28, "", SUMIFS( '2024'!U:U,F:F, F29))</f>
        <v/>
      </c>
    </row>
    <row r="30" spans="1:8">
      <c r="F30" s="16" t="str">
        <f t="shared" si="0"/>
        <v/>
      </c>
      <c r="G30" s="15" t="str">
        <f>IF(F30=F29, "", SUMIFS( '2024'!C:C,F:F, F30))</f>
        <v/>
      </c>
      <c r="H30" s="3" t="str">
        <f>IF(F30=F29, "", SUMIFS( '2024'!U:U,F:F, F30))</f>
        <v/>
      </c>
    </row>
    <row r="31" spans="1:8">
      <c r="F31" s="16" t="str">
        <f t="shared" si="0"/>
        <v/>
      </c>
      <c r="G31" s="15" t="str">
        <f>IF(F31=F30, "", SUMIFS( '2024'!C:C,F:F, F31))</f>
        <v/>
      </c>
      <c r="H31" s="3" t="str">
        <f>IF(F31=F30, "", SUMIFS( '2024'!U:U,F:F, F31))</f>
        <v/>
      </c>
    </row>
    <row r="32" spans="1:8">
      <c r="F32" s="16" t="str">
        <f t="shared" si="0"/>
        <v/>
      </c>
      <c r="G32" s="15" t="str">
        <f>IF(F32=F31, "", SUMIFS( '2024'!C:C,F:F, F32))</f>
        <v/>
      </c>
      <c r="H32" s="3" t="str">
        <f>IF(F32=F31, "", SUMIFS( '2024'!U:U,F:F, F32))</f>
        <v/>
      </c>
    </row>
    <row r="33" spans="6:8">
      <c r="F33" s="16" t="str">
        <f t="shared" si="0"/>
        <v/>
      </c>
      <c r="G33" s="15" t="str">
        <f>IF(F33=F32, "", SUMIFS( '2024'!C:C,F:F, F33))</f>
        <v/>
      </c>
      <c r="H33" s="3" t="str">
        <f>IF(F33=F32, "", SUMIFS( '2024'!U:U,F:F, F33))</f>
        <v/>
      </c>
    </row>
    <row r="34" spans="6:8">
      <c r="F34" s="16" t="str">
        <f t="shared" si="0"/>
        <v/>
      </c>
      <c r="G34" s="15" t="str">
        <f>IF(F34=F33, "", SUMIFS( '2024'!C:C,F:F, F34))</f>
        <v/>
      </c>
      <c r="H34" s="3" t="str">
        <f>IF(F34=F33, "", SUMIFS( '2024'!U:U,F:F, F34))</f>
        <v/>
      </c>
    </row>
    <row r="35" spans="6:8">
      <c r="F35" s="16" t="str">
        <f t="shared" si="0"/>
        <v/>
      </c>
      <c r="G35" s="15" t="str">
        <f>IF(F35=F34, "", SUMIFS( '2024'!C:C,F:F, F35))</f>
        <v/>
      </c>
      <c r="H35" s="3" t="str">
        <f>IF(F35=F34, "", SUMIFS( '2024'!U:U,F:F, F35))</f>
        <v/>
      </c>
    </row>
    <row r="36" spans="6:8">
      <c r="F36" s="16" t="str">
        <f t="shared" si="0"/>
        <v/>
      </c>
      <c r="G36" s="15" t="str">
        <f>IF(F36=F35, "", SUMIFS( '2024'!C:C,F:F, F36))</f>
        <v/>
      </c>
      <c r="H36" s="3" t="str">
        <f>IF(F36=F35, "", SUMIFS( '2024'!U:U,F:F, F36))</f>
        <v/>
      </c>
    </row>
    <row r="37" spans="6:8">
      <c r="F37" s="16" t="str">
        <f t="shared" si="0"/>
        <v/>
      </c>
      <c r="G37" s="15" t="str">
        <f>IF(F37=F36, "", SUMIFS( '2024'!C:C,F:F, F37))</f>
        <v/>
      </c>
      <c r="H37" s="3" t="str">
        <f>IF(F37=F36, "", SUMIFS( '2024'!U:U,F:F, F37))</f>
        <v/>
      </c>
    </row>
    <row r="38" spans="6:8">
      <c r="F38" s="16" t="str">
        <f t="shared" si="0"/>
        <v/>
      </c>
      <c r="G38" s="15" t="str">
        <f>IF(F38=F37, "", SUMIFS( '2024'!C:C,F:F, F38))</f>
        <v/>
      </c>
      <c r="H38" s="3" t="str">
        <f>IF(F38=F37, "", SUMIFS( '2024'!U:U,F:F, F38))</f>
        <v/>
      </c>
    </row>
    <row r="39" spans="6:8">
      <c r="F39" s="16" t="str">
        <f t="shared" si="0"/>
        <v/>
      </c>
      <c r="G39" s="15" t="str">
        <f>IF(F39=F38, "", SUMIFS( '2024'!C:C,F:F, F39))</f>
        <v/>
      </c>
      <c r="H39" s="3" t="str">
        <f>IF(F39=F38, "", SUMIFS( '2024'!U:U,F:F, F39))</f>
        <v/>
      </c>
    </row>
    <row r="40" spans="6:8">
      <c r="F40" s="16" t="str">
        <f t="shared" si="0"/>
        <v/>
      </c>
      <c r="G40" s="15" t="str">
        <f>IF(F40=F39, "", SUMIFS( '2024'!C:C,F:F, F40))</f>
        <v/>
      </c>
      <c r="H40" s="3" t="str">
        <f>IF(F40=F39, "", SUMIFS( '2024'!U:U,F:F, F40))</f>
        <v/>
      </c>
    </row>
    <row r="41" spans="6:8">
      <c r="F41" s="16" t="str">
        <f t="shared" si="0"/>
        <v/>
      </c>
      <c r="G41" s="15" t="str">
        <f>IF(F41=F40, "", SUMIFS( '2024'!C:C,F:F, F41))</f>
        <v/>
      </c>
      <c r="H41" s="3" t="str">
        <f>IF(F41=F40, "", SUMIFS( '2024'!U:U,F:F, F41))</f>
        <v/>
      </c>
    </row>
    <row r="42" spans="6:8">
      <c r="F42" s="16" t="str">
        <f t="shared" si="0"/>
        <v/>
      </c>
      <c r="G42" s="15" t="str">
        <f>IF(F42=F41, "", SUMIFS( '2024'!C:C,F:F, F42))</f>
        <v/>
      </c>
      <c r="H42" s="3" t="str">
        <f>IF(F42=F41, "", SUMIFS( '2024'!U:U,F:F, F42))</f>
        <v/>
      </c>
    </row>
    <row r="43" spans="6:8">
      <c r="F43" s="16" t="str">
        <f t="shared" si="0"/>
        <v/>
      </c>
      <c r="G43" s="15" t="str">
        <f>IF(F43=F42, "", SUMIFS( '2024'!C:C,F:F, F43))</f>
        <v/>
      </c>
      <c r="H43" s="3" t="str">
        <f>IF(F43=F42, "", SUMIFS( '2024'!U:U,F:F, F43))</f>
        <v/>
      </c>
    </row>
    <row r="44" spans="6:8">
      <c r="F44" s="16" t="str">
        <f t="shared" si="0"/>
        <v/>
      </c>
      <c r="G44" s="15" t="str">
        <f>IF(F44=F43, "", SUMIFS( '2024'!C:C,F:F, F44))</f>
        <v/>
      </c>
      <c r="H44" s="3" t="str">
        <f>IF(F44=F43, "", SUMIFS( '2024'!U:U,F:F, F44))</f>
        <v/>
      </c>
    </row>
    <row r="45" spans="6:8">
      <c r="F45" s="16" t="str">
        <f t="shared" si="0"/>
        <v/>
      </c>
      <c r="G45" s="15" t="str">
        <f>IF(F45=F44, "", SUMIFS( '2024'!C:C,F:F, F45))</f>
        <v/>
      </c>
      <c r="H45" s="3" t="str">
        <f>IF(F45=F44, "", SUMIFS( '2024'!U:U,F:F, F45))</f>
        <v/>
      </c>
    </row>
    <row r="46" spans="6:8">
      <c r="F46" s="16" t="str">
        <f t="shared" si="0"/>
        <v/>
      </c>
      <c r="G46" s="15" t="str">
        <f>IF(F46=F45, "", SUMIFS( '2024'!C:C,F:F, F46))</f>
        <v/>
      </c>
      <c r="H46" s="3" t="str">
        <f>IF(F46=F45, "", SUMIFS( '2024'!U:U,F:F, F46))</f>
        <v/>
      </c>
    </row>
    <row r="47" spans="6:8">
      <c r="F47" s="16" t="str">
        <f t="shared" si="0"/>
        <v/>
      </c>
      <c r="G47" s="15" t="str">
        <f>IF(F47=F46, "", SUMIFS( '2024'!C:C,F:F, F47))</f>
        <v/>
      </c>
      <c r="H47" s="3" t="str">
        <f>IF(F47=F46, "", SUMIFS( '2024'!U:U,F:F, F47))</f>
        <v/>
      </c>
    </row>
    <row r="48" spans="6:8">
      <c r="F48" s="16" t="str">
        <f t="shared" si="0"/>
        <v/>
      </c>
      <c r="G48" s="15" t="str">
        <f>IF(F48=F47, "", SUMIFS( '2024'!C:C,F:F, F48))</f>
        <v/>
      </c>
      <c r="H48" s="3" t="str">
        <f>IF(F48=F47, "", SUMIFS( '2024'!U:U,F:F, F48))</f>
        <v/>
      </c>
    </row>
    <row r="49" spans="6:8">
      <c r="F49" s="16" t="str">
        <f t="shared" si="0"/>
        <v/>
      </c>
      <c r="G49" s="15" t="str">
        <f>IF(F49=F48, "", SUMIFS( '2024'!C:C,F:F, F49))</f>
        <v/>
      </c>
      <c r="H49" s="3" t="str">
        <f>IF(F49=F48, "", SUMIFS( '2024'!U:U,F:F, F49))</f>
        <v/>
      </c>
    </row>
    <row r="50" spans="6:8">
      <c r="F50" s="16" t="str">
        <f t="shared" si="0"/>
        <v/>
      </c>
      <c r="G50" s="15" t="str">
        <f>IF(F50=F49, "", SUMIFS( '2024'!C:C,F:F, F50))</f>
        <v/>
      </c>
      <c r="H50" s="3" t="str">
        <f>IF(F50=F49, "", SUMIFS( '2024'!U:U,F:F, F50))</f>
        <v/>
      </c>
    </row>
    <row r="51" spans="6:8">
      <c r="F51" s="16" t="str">
        <f t="shared" si="0"/>
        <v/>
      </c>
      <c r="G51" s="15" t="str">
        <f>IF(F51=F50, "", SUMIFS( '2024'!C:C,F:F, F51))</f>
        <v/>
      </c>
      <c r="H51" s="3" t="str">
        <f>IF(F51=F50, "", SUMIFS( '2024'!U:U,F:F, F51))</f>
        <v/>
      </c>
    </row>
    <row r="52" spans="6:8">
      <c r="F52" s="16" t="str">
        <f t="shared" si="0"/>
        <v/>
      </c>
      <c r="G52" s="15" t="str">
        <f>IF(F52=F51, "", SUMIFS( '2024'!C:C,F:F, F52))</f>
        <v/>
      </c>
      <c r="H52" s="3" t="str">
        <f>IF(F52=F51, "", SUMIFS( '2024'!U:U,F:F, F52))</f>
        <v/>
      </c>
    </row>
    <row r="53" spans="6:8">
      <c r="F53" s="16" t="str">
        <f t="shared" si="0"/>
        <v/>
      </c>
      <c r="G53" s="15" t="str">
        <f>IF(F53=F52, "", SUMIFS( '2024'!C:C,F:F, F53))</f>
        <v/>
      </c>
      <c r="H53" s="3" t="str">
        <f>IF(F53=F52, "", SUMIFS( '2024'!U:U,F:F, F53))</f>
        <v/>
      </c>
    </row>
    <row r="54" spans="6:8">
      <c r="F54" s="16" t="str">
        <f t="shared" si="0"/>
        <v/>
      </c>
      <c r="G54" s="15" t="str">
        <f>IF(F54=F53, "", SUMIFS( '2024'!C:C,F:F, F54))</f>
        <v/>
      </c>
      <c r="H54" s="3" t="str">
        <f>IF(F54=F53, "", SUMIFS( '2024'!U:U,F:F, F54))</f>
        <v/>
      </c>
    </row>
    <row r="55" spans="6:8">
      <c r="F55" s="16" t="str">
        <f t="shared" si="0"/>
        <v/>
      </c>
      <c r="G55" s="15" t="str">
        <f>IF(F55=F54, "", SUMIFS( '2024'!C:C,F:F, F55))</f>
        <v/>
      </c>
      <c r="H55" s="3" t="str">
        <f>IF(F55=F54, "", SUMIFS( '2024'!U:U,F:F, F55))</f>
        <v/>
      </c>
    </row>
    <row r="56" spans="6:8">
      <c r="F56" s="16" t="str">
        <f t="shared" si="0"/>
        <v/>
      </c>
      <c r="G56" s="15" t="str">
        <f>IF(F56=F55, "", SUMIFS( '2024'!C:C,F:F, F56))</f>
        <v/>
      </c>
      <c r="H56" s="3" t="str">
        <f>IF(F56=F55, "", SUMIFS( '2024'!U:U,F:F, F56))</f>
        <v/>
      </c>
    </row>
    <row r="57" spans="6:8">
      <c r="F57" s="16" t="str">
        <f t="shared" si="0"/>
        <v/>
      </c>
      <c r="G57" s="15" t="str">
        <f>IF(F57=F56, "", SUMIFS( '2024'!C:C,F:F, F57))</f>
        <v/>
      </c>
      <c r="H57" s="3" t="str">
        <f>IF(F57=F56, "", SUMIFS( '2024'!U:U,F:F, F57))</f>
        <v/>
      </c>
    </row>
    <row r="58" spans="6:8">
      <c r="F58" s="16" t="str">
        <f t="shared" si="0"/>
        <v/>
      </c>
      <c r="G58" s="15" t="str">
        <f>IF(F58=F57, "", SUMIFS( '2024'!C:C,F:F, F58))</f>
        <v/>
      </c>
      <c r="H58" s="3" t="str">
        <f>IF(F58=F57, "", SUMIFS( '2024'!U:U,F:F, F58))</f>
        <v/>
      </c>
    </row>
    <row r="59" spans="6:8">
      <c r="F59" s="16" t="str">
        <f t="shared" si="0"/>
        <v/>
      </c>
      <c r="G59" s="15" t="str">
        <f>IF(F59=F58, "", SUMIFS( '2024'!C:C,F:F, F59))</f>
        <v/>
      </c>
      <c r="H59" s="3" t="str">
        <f>IF(F59=F58, "", SUMIFS( '2024'!U:U,F:F, F59))</f>
        <v/>
      </c>
    </row>
    <row r="60" spans="6:8">
      <c r="F60" s="16" t="str">
        <f t="shared" si="0"/>
        <v/>
      </c>
      <c r="G60" s="15" t="str">
        <f>IF(F60=F59, "", SUMIFS( '2024'!C:C,F:F, F60))</f>
        <v/>
      </c>
      <c r="H60" s="3" t="str">
        <f>IF(F60=F59, "", SUMIFS( '2024'!U:U,F:F, F60))</f>
        <v/>
      </c>
    </row>
    <row r="61" spans="6:8">
      <c r="F61" s="16" t="str">
        <f t="shared" si="0"/>
        <v/>
      </c>
      <c r="G61" s="15" t="str">
        <f>IF(F61=F60, "", SUMIFS( '2024'!C:C,F:F, F61))</f>
        <v/>
      </c>
      <c r="H61" s="3" t="str">
        <f>IF(F61=F60, "", SUMIFS( '2024'!U:U,F:F, F61))</f>
        <v/>
      </c>
    </row>
    <row r="62" spans="6:8">
      <c r="F62" s="16" t="str">
        <f t="shared" si="0"/>
        <v/>
      </c>
      <c r="G62" s="15" t="str">
        <f>IF(F62=F61, "", SUMIFS( '2024'!C:C,F:F, F62))</f>
        <v/>
      </c>
      <c r="H62" s="3" t="str">
        <f>IF(F62=F61, "", SUMIFS( '2024'!U:U,F:F, F62))</f>
        <v/>
      </c>
    </row>
    <row r="63" spans="6:8">
      <c r="F63" s="16" t="str">
        <f t="shared" si="0"/>
        <v/>
      </c>
      <c r="G63" s="15" t="str">
        <f>IF(F63=F62, "", SUMIFS( '2024'!C:C,F:F, F63))</f>
        <v/>
      </c>
      <c r="H63" s="3" t="str">
        <f>IF(F63=F62, "", SUMIFS( '2024'!U:U,F:F, F63))</f>
        <v/>
      </c>
    </row>
    <row r="64" spans="6:8">
      <c r="F64" s="16" t="str">
        <f t="shared" si="0"/>
        <v/>
      </c>
      <c r="G64" s="15" t="str">
        <f>IF(F64=F63, "", SUMIFS( '2024'!C:C,F:F, F64))</f>
        <v/>
      </c>
      <c r="H64" s="3" t="str">
        <f>IF(F64=F63, "", SUMIFS( '2024'!U:U,F:F, F64))</f>
        <v/>
      </c>
    </row>
    <row r="65" spans="6:8">
      <c r="F65" s="16" t="str">
        <f t="shared" si="0"/>
        <v/>
      </c>
      <c r="G65" s="15" t="str">
        <f>IF(F65=F64, "", SUMIFS( '2024'!C:C,F:F, F65))</f>
        <v/>
      </c>
      <c r="H65" s="3" t="str">
        <f>IF(F65=F64, "", SUMIFS( '2024'!U:U,F:F, F65))</f>
        <v/>
      </c>
    </row>
    <row r="66" spans="6:8">
      <c r="F66" s="16" t="str">
        <f t="shared" si="0"/>
        <v/>
      </c>
      <c r="G66" s="15" t="str">
        <f>IF(F66=F65, "", SUMIFS( '2024'!C:C,F:F, F66))</f>
        <v/>
      </c>
      <c r="H66" s="3" t="str">
        <f>IF(F66=F65, "", SUMIFS( '2024'!U:U,F:F, F66))</f>
        <v/>
      </c>
    </row>
    <row r="67" spans="6:8">
      <c r="F67" s="16" t="str">
        <f t="shared" si="0"/>
        <v/>
      </c>
      <c r="G67" s="15" t="str">
        <f>IF(F67=F66, "", SUMIFS( '2024'!C:C,F:F, F67))</f>
        <v/>
      </c>
      <c r="H67" s="3" t="str">
        <f>IF(F67=F66, "", SUMIFS( '2024'!U:U,F:F, F67))</f>
        <v/>
      </c>
    </row>
    <row r="68" spans="6:8">
      <c r="F68" s="16" t="str">
        <f t="shared" si="0"/>
        <v/>
      </c>
      <c r="G68" s="15" t="str">
        <f>IF(F68=F67, "", SUMIFS( '2024'!C:C,F:F, F68))</f>
        <v/>
      </c>
      <c r="H68" s="3" t="str">
        <f>IF(F68=F67, "", SUMIFS( '2024'!U:U,F:F, F68))</f>
        <v/>
      </c>
    </row>
    <row r="69" spans="6:8">
      <c r="F69" s="16" t="str">
        <f t="shared" si="0"/>
        <v/>
      </c>
      <c r="G69" s="15" t="str">
        <f>IF(F69=F68, "", SUMIFS( '2024'!C:C,F:F, F69))</f>
        <v/>
      </c>
      <c r="H69" s="3" t="str">
        <f>IF(F69=F68, "", SUMIFS( '2024'!U:U,F:F, F69))</f>
        <v/>
      </c>
    </row>
    <row r="70" spans="6:8">
      <c r="F70" s="16" t="str">
        <f t="shared" si="0"/>
        <v/>
      </c>
      <c r="G70" s="15" t="str">
        <f>IF(F70=F69, "", SUMIFS( '2024'!C:C,F:F, F70))</f>
        <v/>
      </c>
      <c r="H70" s="3" t="str">
        <f>IF(F70=F69, "", SUMIFS( '2024'!U:U,F:F, F70))</f>
        <v/>
      </c>
    </row>
    <row r="71" spans="6:8">
      <c r="F71" s="16" t="str">
        <f t="shared" si="0"/>
        <v/>
      </c>
      <c r="G71" s="15" t="str">
        <f>IF(F71=F70, "", SUMIFS( '2024'!C:C,F:F, F71))</f>
        <v/>
      </c>
      <c r="H71" s="3" t="str">
        <f>IF(F71=F70, "", SUMIFS( '2024'!U:U,F:F, F71))</f>
        <v/>
      </c>
    </row>
    <row r="72" spans="6:8">
      <c r="F72" s="16" t="str">
        <f t="shared" si="0"/>
        <v/>
      </c>
      <c r="G72" s="15" t="str">
        <f>IF(F72=F71, "", SUMIFS( '2024'!C:C,F:F, F72))</f>
        <v/>
      </c>
      <c r="H72" s="3" t="str">
        <f>IF(F72=F71, "", SUMIFS( '2024'!U:U,F:F, F72))</f>
        <v/>
      </c>
    </row>
    <row r="73" spans="6:8">
      <c r="F73" s="16" t="str">
        <f t="shared" si="0"/>
        <v/>
      </c>
      <c r="G73" s="15" t="str">
        <f>IF(F73=F72, "", SUMIFS( '2024'!C:C,F:F, F73))</f>
        <v/>
      </c>
      <c r="H73" s="3" t="str">
        <f>IF(F73=F72, "", SUMIFS( '2024'!U:U,F:F, F73))</f>
        <v/>
      </c>
    </row>
    <row r="74" spans="6:8">
      <c r="F74" s="16" t="str">
        <f t="shared" si="0"/>
        <v/>
      </c>
      <c r="G74" s="15" t="str">
        <f>IF(F74=F73, "", SUMIFS( '2024'!C:C,F:F, F74))</f>
        <v/>
      </c>
      <c r="H74" s="3" t="str">
        <f>IF(F74=F73, "", SUMIFS( '2024'!U:U,F:F, F74))</f>
        <v/>
      </c>
    </row>
    <row r="75" spans="6:8">
      <c r="F75" s="16" t="str">
        <f t="shared" si="0"/>
        <v/>
      </c>
      <c r="G75" s="15" t="str">
        <f>IF(F75=F74, "", SUMIFS( '2024'!C:C,F:F, F75))</f>
        <v/>
      </c>
      <c r="H75" s="3" t="str">
        <f>IF(F75=F74, "", SUMIFS( '2024'!U:U,F:F, F75))</f>
        <v/>
      </c>
    </row>
    <row r="76" spans="6:8">
      <c r="F76" s="16" t="str">
        <f t="shared" si="0"/>
        <v/>
      </c>
      <c r="G76" s="15" t="str">
        <f>IF(F76=F75, "", SUMIFS( '2024'!C:C,F:F, F76))</f>
        <v/>
      </c>
      <c r="H76" s="3" t="str">
        <f>IF(F76=F75, "", SUMIFS( '2024'!U:U,F:F, F76))</f>
        <v/>
      </c>
    </row>
    <row r="77" spans="6:8">
      <c r="F77" s="16" t="str">
        <f t="shared" si="0"/>
        <v/>
      </c>
      <c r="G77" s="15" t="str">
        <f>IF(F77=F76, "", SUMIFS( '2024'!C:C,F:F, F77))</f>
        <v/>
      </c>
      <c r="H77" s="3" t="str">
        <f>IF(F77=F76, "", SUMIFS( '2024'!U:U,F:F, F77))</f>
        <v/>
      </c>
    </row>
    <row r="78" spans="6:8">
      <c r="F78" s="16" t="str">
        <f t="shared" si="0"/>
        <v/>
      </c>
      <c r="G78" s="15" t="str">
        <f>IF(F78=F77, "", SUMIFS( '2024'!C:C,F:F, F78))</f>
        <v/>
      </c>
      <c r="H78" s="3" t="str">
        <f>IF(F78=F77, "", SUMIFS( '2024'!U:U,F:F, F78))</f>
        <v/>
      </c>
    </row>
    <row r="79" spans="6:8">
      <c r="F79" s="16" t="str">
        <f t="shared" si="0"/>
        <v/>
      </c>
      <c r="G79" s="15" t="str">
        <f>IF(F79=F78, "", SUMIFS( '2024'!C:C,F:F, F79))</f>
        <v/>
      </c>
      <c r="H79" s="3" t="str">
        <f>IF(F79=F78, "", SUMIFS( '2024'!U:U,F:F, F79))</f>
        <v/>
      </c>
    </row>
    <row r="80" spans="6:8">
      <c r="F80" s="16" t="str">
        <f t="shared" si="0"/>
        <v/>
      </c>
      <c r="G80" s="15" t="str">
        <f>IF(F80=F79, "", SUMIFS( '2024'!C:C,F:F, F80))</f>
        <v/>
      </c>
      <c r="H80" s="3" t="str">
        <f>IF(F80=F79, "", SUMIFS( '2024'!U:U,F:F, F80))</f>
        <v/>
      </c>
    </row>
    <row r="81" spans="6:8">
      <c r="F81" s="16" t="str">
        <f t="shared" si="0"/>
        <v/>
      </c>
      <c r="G81" s="15" t="str">
        <f>IF(F81=F80, "", SUMIFS( '2024'!C:C,F:F, F81))</f>
        <v/>
      </c>
      <c r="H81" s="3" t="str">
        <f>IF(F81=F80, "", SUMIFS( '2024'!U:U,F:F, F81))</f>
        <v/>
      </c>
    </row>
    <row r="82" spans="6:8">
      <c r="F82" s="16" t="str">
        <f t="shared" si="0"/>
        <v/>
      </c>
      <c r="G82" s="15" t="str">
        <f>IF(F82=F81, "", SUMIFS( '2024'!C:C,F:F, F82))</f>
        <v/>
      </c>
      <c r="H82" s="3" t="str">
        <f>IF(F82=F81, "", SUMIFS( '2024'!U:U,F:F, F82))</f>
        <v/>
      </c>
    </row>
    <row r="83" spans="6:8">
      <c r="F83" s="16" t="str">
        <f t="shared" si="0"/>
        <v/>
      </c>
      <c r="G83" s="15" t="str">
        <f>IF(F83=F82, "", SUMIFS( '2024'!C:C,F:F, F83))</f>
        <v/>
      </c>
      <c r="H83" s="3" t="str">
        <f>IF(F83=F82, "", SUMIFS( '2024'!U:U,F:F, F83))</f>
        <v/>
      </c>
    </row>
    <row r="84" spans="6:8">
      <c r="F84" s="16" t="str">
        <f t="shared" si="0"/>
        <v/>
      </c>
      <c r="G84" s="15" t="str">
        <f>IF(F84=F83, "", SUMIFS( '2024'!C:C,F:F, F84))</f>
        <v/>
      </c>
      <c r="H84" s="3" t="str">
        <f>IF(F84=F83, "", SUMIFS( '2024'!U:U,F:F, F84))</f>
        <v/>
      </c>
    </row>
    <row r="85" spans="6:8">
      <c r="F85" s="16" t="str">
        <f t="shared" si="0"/>
        <v/>
      </c>
      <c r="G85" s="15" t="str">
        <f>IF(F85=F84, "", SUMIFS( '2024'!C:C,F:F, F85))</f>
        <v/>
      </c>
      <c r="H85" s="3" t="str">
        <f>IF(F85=F84, "", SUMIFS( '2024'!U:U,F:F, F85))</f>
        <v/>
      </c>
    </row>
    <row r="86" spans="6:8">
      <c r="F86" s="16" t="str">
        <f t="shared" si="0"/>
        <v/>
      </c>
      <c r="G86" s="15" t="str">
        <f>IF(F86=F85, "", SUMIFS( '2024'!C:C,F:F, F86))</f>
        <v/>
      </c>
      <c r="H86" s="3" t="str">
        <f>IF(F86=F85, "", SUMIFS( '2024'!U:U,F:F, F86))</f>
        <v/>
      </c>
    </row>
    <row r="87" spans="6:8">
      <c r="F87" s="16" t="str">
        <f t="shared" si="0"/>
        <v/>
      </c>
      <c r="G87" s="15" t="str">
        <f>IF(F87=F86, "", SUMIFS( '2024'!C:C,F:F, F87))</f>
        <v/>
      </c>
      <c r="H87" s="3" t="str">
        <f>IF(F87=F86, "", SUMIFS( '2024'!U:U,F:F, F87))</f>
        <v/>
      </c>
    </row>
    <row r="88" spans="6:8">
      <c r="F88" s="16" t="str">
        <f t="shared" si="0"/>
        <v/>
      </c>
      <c r="G88" s="15" t="str">
        <f>IF(F88=F87, "", SUMIFS( '2024'!C:C,F:F, F88))</f>
        <v/>
      </c>
      <c r="H88" s="3" t="str">
        <f>IF(F88=F87, "", SUMIFS( '2024'!U:U,F:F, F88))</f>
        <v/>
      </c>
    </row>
    <row r="89" spans="6:8">
      <c r="F89" s="16" t="str">
        <f t="shared" si="0"/>
        <v/>
      </c>
      <c r="G89" s="15" t="str">
        <f>IF(F89=F88, "", SUMIFS( '2024'!C:C,F:F, F89))</f>
        <v/>
      </c>
      <c r="H89" s="3" t="str">
        <f>IF(F89=F88, "", SUMIFS( '2024'!U:U,F:F, F89))</f>
        <v/>
      </c>
    </row>
    <row r="90" spans="6:8">
      <c r="F90" s="16" t="str">
        <f t="shared" ref="F90:F153" si="1">IF(ISNUMBER(A90), A90 - WEEKDAY(A90, 2) + 1, F89)</f>
        <v/>
      </c>
      <c r="G90" s="15" t="str">
        <f>IF(F90=F89, "", SUMIFS( '2024'!C:C,F:F, F90))</f>
        <v/>
      </c>
      <c r="H90" s="3" t="str">
        <f>IF(F90=F89, "", SUMIFS( '2024'!U:U,F:F, F90))</f>
        <v/>
      </c>
    </row>
    <row r="91" spans="6:8">
      <c r="F91" s="16" t="str">
        <f t="shared" si="1"/>
        <v/>
      </c>
      <c r="G91" s="15" t="str">
        <f>IF(F91=F90, "", SUMIFS( '2024'!C:C,F:F, F91))</f>
        <v/>
      </c>
      <c r="H91" s="3" t="str">
        <f>IF(F91=F90, "", SUMIFS( '2024'!U:U,F:F, F91))</f>
        <v/>
      </c>
    </row>
    <row r="92" spans="6:8">
      <c r="F92" s="16" t="str">
        <f t="shared" si="1"/>
        <v/>
      </c>
      <c r="G92" s="15" t="str">
        <f>IF(F92=F91, "", SUMIFS( '2024'!C:C,F:F, F92))</f>
        <v/>
      </c>
      <c r="H92" s="3" t="str">
        <f>IF(F92=F91, "", SUMIFS( '2024'!U:U,F:F, F92))</f>
        <v/>
      </c>
    </row>
    <row r="93" spans="6:8">
      <c r="F93" s="16" t="str">
        <f t="shared" si="1"/>
        <v/>
      </c>
      <c r="G93" s="15" t="str">
        <f>IF(F93=F92, "", SUMIFS( '2024'!C:C,F:F, F93))</f>
        <v/>
      </c>
      <c r="H93" s="3" t="str">
        <f>IF(F93=F92, "", SUMIFS( '2024'!U:U,F:F, F93))</f>
        <v/>
      </c>
    </row>
    <row r="94" spans="6:8">
      <c r="F94" s="16" t="str">
        <f t="shared" si="1"/>
        <v/>
      </c>
      <c r="G94" s="15" t="str">
        <f>IF(F94=F93, "", SUMIFS( '2024'!C:C,F:F, F94))</f>
        <v/>
      </c>
      <c r="H94" s="3" t="str">
        <f>IF(F94=F93, "", SUMIFS( '2024'!U:U,F:F, F94))</f>
        <v/>
      </c>
    </row>
    <row r="95" spans="6:8">
      <c r="F95" s="16" t="str">
        <f t="shared" si="1"/>
        <v/>
      </c>
      <c r="G95" s="15" t="str">
        <f>IF(F95=F94, "", SUMIFS( '2024'!C:C,F:F, F95))</f>
        <v/>
      </c>
      <c r="H95" s="3" t="str">
        <f>IF(F95=F94, "", SUMIFS( '2024'!U:U,F:F, F95))</f>
        <v/>
      </c>
    </row>
    <row r="96" spans="6:8">
      <c r="F96" s="16" t="str">
        <f t="shared" si="1"/>
        <v/>
      </c>
      <c r="G96" s="15" t="str">
        <f>IF(F96=F95, "", SUMIFS( '2024'!C:C,F:F, F96))</f>
        <v/>
      </c>
      <c r="H96" s="3" t="str">
        <f>IF(F96=F95, "", SUMIFS( '2024'!U:U,F:F, F96))</f>
        <v/>
      </c>
    </row>
    <row r="97" spans="6:8">
      <c r="F97" s="16" t="str">
        <f t="shared" si="1"/>
        <v/>
      </c>
      <c r="G97" s="15" t="str">
        <f>IF(F97=F96, "", SUMIFS( '2024'!C:C,F:F, F97))</f>
        <v/>
      </c>
      <c r="H97" s="3" t="str">
        <f>IF(F97=F96, "", SUMIFS( '2024'!U:U,F:F, F97))</f>
        <v/>
      </c>
    </row>
    <row r="98" spans="6:8">
      <c r="F98" s="16" t="str">
        <f t="shared" si="1"/>
        <v/>
      </c>
      <c r="G98" s="15" t="str">
        <f>IF(F98=F97, "", SUMIFS( '2024'!C:C,F:F, F98))</f>
        <v/>
      </c>
      <c r="H98" s="3" t="str">
        <f>IF(F98=F97, "", SUMIFS( '2024'!U:U,F:F, F98))</f>
        <v/>
      </c>
    </row>
    <row r="99" spans="6:8">
      <c r="F99" s="16" t="str">
        <f t="shared" si="1"/>
        <v/>
      </c>
      <c r="G99" s="15" t="str">
        <f>IF(F99=F98, "", SUMIFS( '2024'!C:C,F:F, F99))</f>
        <v/>
      </c>
      <c r="H99" s="3" t="str">
        <f>IF(F99=F98, "", SUMIFS( '2024'!U:U,F:F, F99))</f>
        <v/>
      </c>
    </row>
    <row r="100" spans="6:8">
      <c r="F100" s="16" t="str">
        <f t="shared" si="1"/>
        <v/>
      </c>
      <c r="G100" s="15" t="str">
        <f>IF(F100=F99, "", SUMIFS( '2024'!C:C,F:F, F100))</f>
        <v/>
      </c>
      <c r="H100" s="3" t="str">
        <f>IF(F100=F99, "", SUMIFS( '2024'!U:U,F:F, F100))</f>
        <v/>
      </c>
    </row>
    <row r="101" spans="6:8">
      <c r="F101" s="16" t="str">
        <f t="shared" si="1"/>
        <v/>
      </c>
      <c r="G101" s="15" t="str">
        <f>IF(F101=F100, "", SUMIFS( '2024'!C:C,F:F, F101))</f>
        <v/>
      </c>
      <c r="H101" s="3" t="str">
        <f>IF(F101=F100, "", SUMIFS( '2024'!U:U,F:F, F101))</f>
        <v/>
      </c>
    </row>
    <row r="102" spans="6:8">
      <c r="F102" s="16" t="str">
        <f t="shared" si="1"/>
        <v/>
      </c>
      <c r="G102" s="15" t="str">
        <f>IF(F102=F101, "", SUMIFS( '2024'!C:C,F:F, F102))</f>
        <v/>
      </c>
      <c r="H102" s="3" t="str">
        <f>IF(F102=F101, "", SUMIFS( '2024'!U:U,F:F, F102))</f>
        <v/>
      </c>
    </row>
    <row r="103" spans="6:8">
      <c r="F103" s="16" t="str">
        <f t="shared" si="1"/>
        <v/>
      </c>
      <c r="G103" s="15" t="str">
        <f>IF(F103=F102, "", SUMIFS( '2024'!C:C,F:F, F103))</f>
        <v/>
      </c>
      <c r="H103" s="3" t="str">
        <f>IF(F103=F102, "", SUMIFS( '2024'!U:U,F:F, F103))</f>
        <v/>
      </c>
    </row>
    <row r="104" spans="6:8">
      <c r="F104" s="16" t="str">
        <f t="shared" si="1"/>
        <v/>
      </c>
      <c r="G104" s="15" t="str">
        <f>IF(F104=F103, "", SUMIFS( '2024'!C:C,F:F, F104))</f>
        <v/>
      </c>
      <c r="H104" s="3" t="str">
        <f>IF(F104=F103, "", SUMIFS( '2024'!U:U,F:F, F104))</f>
        <v/>
      </c>
    </row>
    <row r="105" spans="6:8">
      <c r="F105" s="16" t="str">
        <f t="shared" si="1"/>
        <v/>
      </c>
      <c r="G105" s="15" t="str">
        <f>IF(F105=F104, "", SUMIFS( '2024'!C:C,F:F, F105))</f>
        <v/>
      </c>
      <c r="H105" s="3" t="str">
        <f>IF(F105=F104, "", SUMIFS( '2024'!U:U,F:F, F105))</f>
        <v/>
      </c>
    </row>
    <row r="106" spans="6:8">
      <c r="F106" s="16" t="str">
        <f t="shared" si="1"/>
        <v/>
      </c>
      <c r="G106" s="15" t="str">
        <f>IF(F106=F105, "", SUMIFS( '2024'!C:C,F:F, F106))</f>
        <v/>
      </c>
      <c r="H106" s="3" t="str">
        <f>IF(F106=F105, "", SUMIFS( '2024'!U:U,F:F, F106))</f>
        <v/>
      </c>
    </row>
    <row r="107" spans="6:8">
      <c r="F107" s="16" t="str">
        <f t="shared" si="1"/>
        <v/>
      </c>
      <c r="G107" s="15" t="str">
        <f>IF(F107=F106, "", SUMIFS( '2024'!C:C,F:F, F107))</f>
        <v/>
      </c>
      <c r="H107" s="3" t="str">
        <f>IF(F107=F106, "", SUMIFS( '2024'!U:U,F:F, F107))</f>
        <v/>
      </c>
    </row>
    <row r="108" spans="6:8">
      <c r="F108" s="16" t="str">
        <f t="shared" si="1"/>
        <v/>
      </c>
      <c r="G108" s="15" t="str">
        <f>IF(F108=F107, "", SUMIFS( '2024'!C:C,F:F, F108))</f>
        <v/>
      </c>
      <c r="H108" s="3" t="str">
        <f>IF(F108=F107, "", SUMIFS( '2024'!U:U,F:F, F108))</f>
        <v/>
      </c>
    </row>
    <row r="109" spans="6:8">
      <c r="F109" s="16" t="str">
        <f t="shared" si="1"/>
        <v/>
      </c>
      <c r="G109" s="15" t="str">
        <f>IF(F109=F108, "", SUMIFS( '2024'!C:C,F:F, F109))</f>
        <v/>
      </c>
      <c r="H109" s="3" t="str">
        <f>IF(F109=F108, "", SUMIFS( '2024'!U:U,F:F, F109))</f>
        <v/>
      </c>
    </row>
    <row r="110" spans="6:8">
      <c r="F110" s="16" t="str">
        <f t="shared" si="1"/>
        <v/>
      </c>
      <c r="G110" s="15" t="str">
        <f>IF(F110=F109, "", SUMIFS( '2024'!C:C,F:F, F110))</f>
        <v/>
      </c>
      <c r="H110" s="3" t="str">
        <f>IF(F110=F109, "", SUMIFS( '2024'!U:U,F:F, F110))</f>
        <v/>
      </c>
    </row>
    <row r="111" spans="6:8">
      <c r="F111" s="16" t="str">
        <f t="shared" si="1"/>
        <v/>
      </c>
      <c r="G111" s="15" t="str">
        <f>IF(F111=F110, "", SUMIFS( '2024'!C:C,F:F, F111))</f>
        <v/>
      </c>
      <c r="H111" s="3" t="str">
        <f>IF(F111=F110, "", SUMIFS( '2024'!U:U,F:F, F111))</f>
        <v/>
      </c>
    </row>
    <row r="112" spans="6:8">
      <c r="F112" s="16" t="str">
        <f t="shared" si="1"/>
        <v/>
      </c>
      <c r="G112" s="15" t="str">
        <f>IF(F112=F111, "", SUMIFS( '2024'!C:C,F:F, F112))</f>
        <v/>
      </c>
      <c r="H112" s="3" t="str">
        <f>IF(F112=F111, "", SUMIFS( '2024'!U:U,F:F, F112))</f>
        <v/>
      </c>
    </row>
    <row r="113" spans="6:8">
      <c r="F113" s="16" t="str">
        <f t="shared" si="1"/>
        <v/>
      </c>
      <c r="G113" s="15" t="str">
        <f>IF(F113=F112, "", SUMIFS( '2024'!C:C,F:F, F113))</f>
        <v/>
      </c>
      <c r="H113" s="3" t="str">
        <f>IF(F113=F112, "", SUMIFS( '2024'!U:U,F:F, F113))</f>
        <v/>
      </c>
    </row>
    <row r="114" spans="6:8">
      <c r="F114" s="16" t="str">
        <f t="shared" si="1"/>
        <v/>
      </c>
      <c r="G114" s="15" t="str">
        <f>IF(F114=F113, "", SUMIFS( '2024'!C:C,F:F, F114))</f>
        <v/>
      </c>
      <c r="H114" s="3" t="str">
        <f>IF(F114=F113, "", SUMIFS( '2024'!U:U,F:F, F114))</f>
        <v/>
      </c>
    </row>
    <row r="115" spans="6:8">
      <c r="F115" s="16" t="str">
        <f t="shared" si="1"/>
        <v/>
      </c>
      <c r="G115" s="15" t="str">
        <f>IF(F115=F114, "", SUMIFS( '2024'!C:C,F:F, F115))</f>
        <v/>
      </c>
      <c r="H115" s="3" t="str">
        <f>IF(F115=F114, "", SUMIFS( '2024'!U:U,F:F, F115))</f>
        <v/>
      </c>
    </row>
    <row r="116" spans="6:8">
      <c r="F116" s="16" t="str">
        <f t="shared" si="1"/>
        <v/>
      </c>
      <c r="G116" s="15" t="str">
        <f>IF(F116=F115, "", SUMIFS( '2024'!C:C,F:F, F116))</f>
        <v/>
      </c>
      <c r="H116" s="3" t="str">
        <f>IF(F116=F115, "", SUMIFS( '2024'!U:U,F:F, F116))</f>
        <v/>
      </c>
    </row>
    <row r="117" spans="6:8">
      <c r="F117" s="16" t="str">
        <f t="shared" si="1"/>
        <v/>
      </c>
      <c r="G117" s="15" t="str">
        <f>IF(F117=F116, "", SUMIFS( '2024'!C:C,F:F, F117))</f>
        <v/>
      </c>
      <c r="H117" s="3" t="str">
        <f>IF(F117=F116, "", SUMIFS( '2024'!U:U,F:F, F117))</f>
        <v/>
      </c>
    </row>
    <row r="118" spans="6:8">
      <c r="F118" s="16" t="str">
        <f t="shared" si="1"/>
        <v/>
      </c>
      <c r="G118" s="15" t="str">
        <f>IF(F118=F117, "", SUMIFS( '2024'!C:C,F:F, F118))</f>
        <v/>
      </c>
      <c r="H118" s="3" t="str">
        <f>IF(F118=F117, "", SUMIFS( '2024'!U:U,F:F, F118))</f>
        <v/>
      </c>
    </row>
    <row r="119" spans="6:8">
      <c r="F119" s="16" t="str">
        <f t="shared" si="1"/>
        <v/>
      </c>
      <c r="G119" s="15" t="str">
        <f>IF(F119=F118, "", SUMIFS( '2024'!C:C,F:F, F119))</f>
        <v/>
      </c>
      <c r="H119" s="3" t="str">
        <f>IF(F119=F118, "", SUMIFS( '2024'!U:U,F:F, F119))</f>
        <v/>
      </c>
    </row>
    <row r="120" spans="6:8">
      <c r="F120" s="16" t="str">
        <f t="shared" si="1"/>
        <v/>
      </c>
      <c r="G120" s="15" t="str">
        <f>IF(F120=F119, "", SUMIFS( '2024'!C:C,F:F, F120))</f>
        <v/>
      </c>
      <c r="H120" s="3" t="str">
        <f>IF(F120=F119, "", SUMIFS( '2024'!U:U,F:F, F120))</f>
        <v/>
      </c>
    </row>
    <row r="121" spans="6:8">
      <c r="F121" s="16" t="str">
        <f t="shared" si="1"/>
        <v/>
      </c>
      <c r="G121" s="15" t="str">
        <f>IF(F121=F120, "", SUMIFS( '2024'!C:C,F:F, F121))</f>
        <v/>
      </c>
      <c r="H121" s="3" t="str">
        <f>IF(F121=F120, "", SUMIFS( '2024'!U:U,F:F, F121))</f>
        <v/>
      </c>
    </row>
    <row r="122" spans="6:8">
      <c r="F122" s="16" t="str">
        <f t="shared" si="1"/>
        <v/>
      </c>
      <c r="G122" s="15" t="str">
        <f>IF(F122=F121, "", SUMIFS( '2024'!C:C,F:F, F122))</f>
        <v/>
      </c>
      <c r="H122" s="3" t="str">
        <f>IF(F122=F121, "", SUMIFS( '2024'!U:U,F:F, F122))</f>
        <v/>
      </c>
    </row>
    <row r="123" spans="6:8">
      <c r="F123" s="16" t="str">
        <f t="shared" si="1"/>
        <v/>
      </c>
      <c r="G123" s="15" t="str">
        <f>IF(F123=F122, "", SUMIFS( '2024'!C:C,F:F, F123))</f>
        <v/>
      </c>
      <c r="H123" s="3" t="str">
        <f>IF(F123=F122, "", SUMIFS( '2024'!U:U,F:F, F123))</f>
        <v/>
      </c>
    </row>
    <row r="124" spans="6:8">
      <c r="F124" s="16" t="str">
        <f t="shared" si="1"/>
        <v/>
      </c>
      <c r="G124" s="15" t="str">
        <f>IF(F124=F123, "", SUMIFS( '2024'!C:C,F:F, F124))</f>
        <v/>
      </c>
      <c r="H124" s="3" t="str">
        <f>IF(F124=F123, "", SUMIFS( '2024'!U:U,F:F, F124))</f>
        <v/>
      </c>
    </row>
    <row r="125" spans="6:8">
      <c r="F125" s="16" t="str">
        <f t="shared" si="1"/>
        <v/>
      </c>
      <c r="G125" s="15" t="str">
        <f>IF(F125=F124, "", SUMIFS( '2024'!C:C,F:F, F125))</f>
        <v/>
      </c>
      <c r="H125" s="3" t="str">
        <f>IF(F125=F124, "", SUMIFS( '2024'!U:U,F:F, F125))</f>
        <v/>
      </c>
    </row>
    <row r="126" spans="6:8">
      <c r="F126" s="16" t="str">
        <f t="shared" si="1"/>
        <v/>
      </c>
      <c r="G126" s="15" t="str">
        <f>IF(F126=F125, "", SUMIFS( '2024'!C:C,F:F, F126))</f>
        <v/>
      </c>
      <c r="H126" s="3" t="str">
        <f>IF(F126=F125, "", SUMIFS( '2024'!U:U,F:F, F126))</f>
        <v/>
      </c>
    </row>
    <row r="127" spans="6:8">
      <c r="F127" s="16" t="str">
        <f t="shared" si="1"/>
        <v/>
      </c>
      <c r="G127" s="15" t="str">
        <f>IF(F127=F126, "", SUMIFS( '2024'!C:C,F:F, F127))</f>
        <v/>
      </c>
      <c r="H127" s="3" t="str">
        <f>IF(F127=F126, "", SUMIFS( '2024'!U:U,F:F, F127))</f>
        <v/>
      </c>
    </row>
    <row r="128" spans="6:8">
      <c r="F128" s="16" t="str">
        <f t="shared" si="1"/>
        <v/>
      </c>
      <c r="G128" s="15" t="str">
        <f>IF(F128=F127, "", SUMIFS( '2024'!C:C,F:F, F128))</f>
        <v/>
      </c>
      <c r="H128" s="3" t="str">
        <f>IF(F128=F127, "", SUMIFS( '2024'!U:U,F:F, F128))</f>
        <v/>
      </c>
    </row>
    <row r="129" spans="6:8">
      <c r="F129" s="16" t="str">
        <f t="shared" si="1"/>
        <v/>
      </c>
      <c r="G129" s="15" t="str">
        <f>IF(F129=F128, "", SUMIFS( '2024'!C:C,F:F, F129))</f>
        <v/>
      </c>
      <c r="H129" s="3" t="str">
        <f>IF(F129=F128, "", SUMIFS( '2024'!U:U,F:F, F129))</f>
        <v/>
      </c>
    </row>
    <row r="130" spans="6:8">
      <c r="F130" s="16" t="str">
        <f t="shared" si="1"/>
        <v/>
      </c>
      <c r="G130" s="15" t="str">
        <f>IF(F130=F129, "", SUMIFS( '2024'!C:C,F:F, F130))</f>
        <v/>
      </c>
      <c r="H130" s="3" t="str">
        <f>IF(F130=F129, "", SUMIFS( '2024'!U:U,F:F, F130))</f>
        <v/>
      </c>
    </row>
    <row r="131" spans="6:8">
      <c r="F131" s="16" t="str">
        <f t="shared" si="1"/>
        <v/>
      </c>
      <c r="G131" s="15" t="str">
        <f>IF(F131=F130, "", SUMIFS( '2024'!C:C,F:F, F131))</f>
        <v/>
      </c>
      <c r="H131" s="3" t="str">
        <f>IF(F131=F130, "", SUMIFS( '2024'!U:U,F:F, F131))</f>
        <v/>
      </c>
    </row>
    <row r="132" spans="6:8">
      <c r="F132" s="16" t="str">
        <f t="shared" si="1"/>
        <v/>
      </c>
      <c r="G132" s="15" t="str">
        <f>IF(F132=F131, "", SUMIFS( '2024'!C:C,F:F, F132))</f>
        <v/>
      </c>
      <c r="H132" s="3" t="str">
        <f>IF(F132=F131, "", SUMIFS( '2024'!U:U,F:F, F132))</f>
        <v/>
      </c>
    </row>
    <row r="133" spans="6:8">
      <c r="F133" s="16" t="str">
        <f t="shared" si="1"/>
        <v/>
      </c>
      <c r="G133" s="15" t="str">
        <f>IF(F133=F132, "", SUMIFS( '2024'!C:C,F:F, F133))</f>
        <v/>
      </c>
      <c r="H133" s="3" t="str">
        <f>IF(F133=F132, "", SUMIFS( '2024'!U:U,F:F, F133))</f>
        <v/>
      </c>
    </row>
    <row r="134" spans="6:8">
      <c r="F134" s="16" t="str">
        <f t="shared" si="1"/>
        <v/>
      </c>
      <c r="G134" s="15" t="str">
        <f>IF(F134=F133, "", SUMIFS( '2024'!C:C,F:F, F134))</f>
        <v/>
      </c>
      <c r="H134" s="3" t="str">
        <f>IF(F134=F133, "", SUMIFS( '2024'!U:U,F:F, F134))</f>
        <v/>
      </c>
    </row>
    <row r="135" spans="6:8">
      <c r="F135" s="16" t="str">
        <f t="shared" si="1"/>
        <v/>
      </c>
      <c r="G135" s="15" t="str">
        <f>IF(F135=F134, "", SUMIFS( '2024'!C:C,F:F, F135))</f>
        <v/>
      </c>
      <c r="H135" s="3" t="str">
        <f>IF(F135=F134, "", SUMIFS( '2024'!U:U,F:F, F135))</f>
        <v/>
      </c>
    </row>
    <row r="136" spans="6:8">
      <c r="F136" s="16" t="str">
        <f t="shared" si="1"/>
        <v/>
      </c>
      <c r="G136" s="15" t="str">
        <f>IF(F136=F135, "", SUMIFS( '2024'!C:C,F:F, F136))</f>
        <v/>
      </c>
      <c r="H136" s="3" t="str">
        <f>IF(F136=F135, "", SUMIFS( '2024'!U:U,F:F, F136))</f>
        <v/>
      </c>
    </row>
    <row r="137" spans="6:8">
      <c r="F137" s="16" t="str">
        <f t="shared" si="1"/>
        <v/>
      </c>
      <c r="G137" s="15" t="str">
        <f>IF(F137=F136, "", SUMIFS( '2024'!C:C,F:F, F137))</f>
        <v/>
      </c>
      <c r="H137" s="3" t="str">
        <f>IF(F137=F136, "", SUMIFS( '2024'!U:U,F:F, F137))</f>
        <v/>
      </c>
    </row>
    <row r="138" spans="6:8">
      <c r="F138" s="16" t="str">
        <f t="shared" si="1"/>
        <v/>
      </c>
      <c r="G138" s="15" t="str">
        <f>IF(F138=F137, "", SUMIFS( '2024'!C:C,F:F, F138))</f>
        <v/>
      </c>
      <c r="H138" s="3" t="str">
        <f>IF(F138=F137, "", SUMIFS( '2024'!U:U,F:F, F138))</f>
        <v/>
      </c>
    </row>
    <row r="139" spans="6:8">
      <c r="F139" s="16" t="str">
        <f t="shared" si="1"/>
        <v/>
      </c>
      <c r="G139" s="15" t="str">
        <f>IF(F139=F138, "", SUMIFS( '2024'!C:C,F:F, F139))</f>
        <v/>
      </c>
      <c r="H139" s="3" t="str">
        <f>IF(F139=F138, "", SUMIFS( '2024'!U:U,F:F, F139))</f>
        <v/>
      </c>
    </row>
    <row r="140" spans="6:8">
      <c r="F140" s="16" t="str">
        <f t="shared" si="1"/>
        <v/>
      </c>
      <c r="G140" s="15" t="str">
        <f>IF(F140=F139, "", SUMIFS( '2024'!C:C,F:F, F140))</f>
        <v/>
      </c>
      <c r="H140" s="3" t="str">
        <f>IF(F140=F139, "", SUMIFS( '2024'!U:U,F:F, F140))</f>
        <v/>
      </c>
    </row>
    <row r="141" spans="6:8">
      <c r="F141" s="16" t="str">
        <f t="shared" si="1"/>
        <v/>
      </c>
      <c r="G141" s="15" t="str">
        <f>IF(F141=F140, "", SUMIFS( '2024'!C:C,F:F, F141))</f>
        <v/>
      </c>
      <c r="H141" s="3" t="str">
        <f>IF(F141=F140, "", SUMIFS( '2024'!U:U,F:F, F141))</f>
        <v/>
      </c>
    </row>
    <row r="142" spans="6:8">
      <c r="F142" s="16" t="str">
        <f t="shared" si="1"/>
        <v/>
      </c>
      <c r="G142" s="15" t="str">
        <f>IF(F142=F141, "", SUMIFS( '2024'!C:C,F:F, F142))</f>
        <v/>
      </c>
      <c r="H142" s="3" t="str">
        <f>IF(F142=F141, "", SUMIFS( '2024'!U:U,F:F, F142))</f>
        <v/>
      </c>
    </row>
    <row r="143" spans="6:8">
      <c r="F143" s="16" t="str">
        <f t="shared" si="1"/>
        <v/>
      </c>
      <c r="G143" s="15" t="str">
        <f>IF(F143=F142, "", SUMIFS( '2024'!C:C,F:F, F143))</f>
        <v/>
      </c>
      <c r="H143" s="3" t="str">
        <f>IF(F143=F142, "", SUMIFS( '2024'!U:U,F:F, F143))</f>
        <v/>
      </c>
    </row>
    <row r="144" spans="6:8">
      <c r="F144" s="16" t="str">
        <f t="shared" si="1"/>
        <v/>
      </c>
      <c r="G144" s="15" t="str">
        <f>IF(F144=F143, "", SUMIFS( '2024'!C:C,F:F, F144))</f>
        <v/>
      </c>
      <c r="H144" s="3" t="str">
        <f>IF(F144=F143, "", SUMIFS( '2024'!U:U,F:F, F144))</f>
        <v/>
      </c>
    </row>
    <row r="145" spans="6:8">
      <c r="F145" s="16" t="str">
        <f t="shared" si="1"/>
        <v/>
      </c>
      <c r="G145" s="15" t="str">
        <f>IF(F145=F144, "", SUMIFS( '2024'!C:C,F:F, F145))</f>
        <v/>
      </c>
      <c r="H145" s="3" t="str">
        <f>IF(F145=F144, "", SUMIFS( '2024'!U:U,F:F, F145))</f>
        <v/>
      </c>
    </row>
    <row r="146" spans="6:8">
      <c r="F146" s="16" t="str">
        <f t="shared" si="1"/>
        <v/>
      </c>
      <c r="G146" s="15" t="str">
        <f>IF(F146=F145, "", SUMIFS( '2024'!C:C,F:F, F146))</f>
        <v/>
      </c>
      <c r="H146" s="3" t="str">
        <f>IF(F146=F145, "", SUMIFS( '2024'!U:U,F:F, F146))</f>
        <v/>
      </c>
    </row>
    <row r="147" spans="6:8">
      <c r="F147" s="16" t="str">
        <f t="shared" si="1"/>
        <v/>
      </c>
      <c r="G147" s="15" t="str">
        <f>IF(F147=F146, "", SUMIFS( '2024'!C:C,F:F, F147))</f>
        <v/>
      </c>
      <c r="H147" s="3" t="str">
        <f>IF(F147=F146, "", SUMIFS( '2024'!U:U,F:F, F147))</f>
        <v/>
      </c>
    </row>
    <row r="148" spans="6:8">
      <c r="F148" s="16" t="str">
        <f t="shared" si="1"/>
        <v/>
      </c>
      <c r="G148" s="15" t="str">
        <f>IF(F148=F147, "", SUMIFS( '2024'!C:C,F:F, F148))</f>
        <v/>
      </c>
      <c r="H148" s="3" t="str">
        <f>IF(F148=F147, "", SUMIFS( '2024'!U:U,F:F, F148))</f>
        <v/>
      </c>
    </row>
    <row r="149" spans="6:8">
      <c r="F149" s="16" t="str">
        <f t="shared" si="1"/>
        <v/>
      </c>
      <c r="G149" s="15" t="str">
        <f>IF(F149=F148, "", SUMIFS( '2024'!C:C,F:F, F149))</f>
        <v/>
      </c>
      <c r="H149" s="3" t="str">
        <f>IF(F149=F148, "", SUMIFS( '2024'!U:U,F:F, F149))</f>
        <v/>
      </c>
    </row>
    <row r="150" spans="6:8">
      <c r="F150" s="16" t="str">
        <f t="shared" si="1"/>
        <v/>
      </c>
      <c r="G150" s="15" t="str">
        <f>IF(F150=F149, "", SUMIFS( '2024'!C:C,F:F, F150))</f>
        <v/>
      </c>
      <c r="H150" s="3" t="str">
        <f>IF(F150=F149, "", SUMIFS( '2024'!U:U,F:F, F150))</f>
        <v/>
      </c>
    </row>
    <row r="151" spans="6:8">
      <c r="F151" s="16" t="str">
        <f t="shared" si="1"/>
        <v/>
      </c>
      <c r="G151" s="15" t="str">
        <f>IF(F151=F150, "", SUMIFS( '2024'!C:C,F:F, F151))</f>
        <v/>
      </c>
      <c r="H151" s="3" t="str">
        <f>IF(F151=F150, "", SUMIFS( '2024'!U:U,F:F, F151))</f>
        <v/>
      </c>
    </row>
    <row r="152" spans="6:8">
      <c r="F152" s="16" t="str">
        <f t="shared" si="1"/>
        <v/>
      </c>
      <c r="G152" s="15" t="str">
        <f>IF(F152=F151, "", SUMIFS( '2024'!C:C,F:F, F152))</f>
        <v/>
      </c>
      <c r="H152" s="3" t="str">
        <f>IF(F152=F151, "", SUMIFS( '2024'!U:U,F:F, F152))</f>
        <v/>
      </c>
    </row>
    <row r="153" spans="6:8">
      <c r="F153" s="16" t="str">
        <f t="shared" si="1"/>
        <v/>
      </c>
      <c r="G153" s="15" t="str">
        <f>IF(F153=F152, "", SUMIFS( '2024'!C:C,F:F, F153))</f>
        <v/>
      </c>
      <c r="H153" s="3" t="str">
        <f>IF(F153=F152, "", SUMIFS( '2024'!U:U,F:F, F153))</f>
        <v/>
      </c>
    </row>
    <row r="154" spans="6:8">
      <c r="F154" s="16" t="str">
        <f t="shared" ref="F154:F217" si="2">IF(ISNUMBER(A154), A154 - WEEKDAY(A154, 2) + 1, F153)</f>
        <v/>
      </c>
      <c r="G154" s="15" t="str">
        <f>IF(F154=F153, "", SUMIFS( '2024'!C:C,F:F, F154))</f>
        <v/>
      </c>
      <c r="H154" s="3" t="str">
        <f>IF(F154=F153, "", SUMIFS( '2024'!U:U,F:F, F154))</f>
        <v/>
      </c>
    </row>
    <row r="155" spans="6:8">
      <c r="F155" s="16" t="str">
        <f t="shared" si="2"/>
        <v/>
      </c>
      <c r="G155" s="15" t="str">
        <f>IF(F155=F154, "", SUMIFS( '2024'!C:C,F:F, F155))</f>
        <v/>
      </c>
      <c r="H155" s="3" t="str">
        <f>IF(F155=F154, "", SUMIFS( '2024'!U:U,F:F, F155))</f>
        <v/>
      </c>
    </row>
    <row r="156" spans="6:8">
      <c r="F156" s="16" t="str">
        <f t="shared" si="2"/>
        <v/>
      </c>
      <c r="G156" s="15" t="str">
        <f>IF(F156=F155, "", SUMIFS( '2024'!C:C,F:F, F156))</f>
        <v/>
      </c>
      <c r="H156" s="3" t="str">
        <f>IF(F156=F155, "", SUMIFS( '2024'!U:U,F:F, F156))</f>
        <v/>
      </c>
    </row>
    <row r="157" spans="6:8">
      <c r="F157" s="16" t="str">
        <f t="shared" si="2"/>
        <v/>
      </c>
      <c r="G157" s="15" t="str">
        <f>IF(F157=F156, "", SUMIFS( '2024'!C:C,F:F, F157))</f>
        <v/>
      </c>
      <c r="H157" s="3" t="str">
        <f>IF(F157=F156, "", SUMIFS( '2024'!U:U,F:F, F157))</f>
        <v/>
      </c>
    </row>
    <row r="158" spans="6:8">
      <c r="F158" s="16" t="str">
        <f t="shared" si="2"/>
        <v/>
      </c>
      <c r="G158" s="15" t="str">
        <f>IF(F158=F157, "", SUMIFS( '2024'!C:C,F:F, F158))</f>
        <v/>
      </c>
      <c r="H158" s="3" t="str">
        <f>IF(F158=F157, "", SUMIFS( '2024'!U:U,F:F, F158))</f>
        <v/>
      </c>
    </row>
    <row r="159" spans="6:8">
      <c r="F159" s="16" t="str">
        <f t="shared" si="2"/>
        <v/>
      </c>
      <c r="G159" s="15" t="str">
        <f>IF(F159=F158, "", SUMIFS( '2024'!C:C,F:F, F159))</f>
        <v/>
      </c>
      <c r="H159" s="3" t="str">
        <f>IF(F159=F158, "", SUMIFS( '2024'!U:U,F:F, F159))</f>
        <v/>
      </c>
    </row>
    <row r="160" spans="6:8">
      <c r="F160" s="16" t="str">
        <f t="shared" si="2"/>
        <v/>
      </c>
      <c r="G160" s="15" t="str">
        <f>IF(F160=F159, "", SUMIFS( '2024'!C:C,F:F, F160))</f>
        <v/>
      </c>
      <c r="H160" s="3" t="str">
        <f>IF(F160=F159, "", SUMIFS( '2024'!U:U,F:F, F160))</f>
        <v/>
      </c>
    </row>
    <row r="161" spans="6:8">
      <c r="F161" s="16" t="str">
        <f t="shared" si="2"/>
        <v/>
      </c>
      <c r="G161" s="15" t="str">
        <f>IF(F161=F160, "", SUMIFS( '2024'!C:C,F:F, F161))</f>
        <v/>
      </c>
      <c r="H161" s="3" t="str">
        <f>IF(F161=F160, "", SUMIFS( '2024'!U:U,F:F, F161))</f>
        <v/>
      </c>
    </row>
    <row r="162" spans="6:8">
      <c r="F162" s="16" t="str">
        <f t="shared" si="2"/>
        <v/>
      </c>
      <c r="G162" s="15" t="str">
        <f>IF(F162=F161, "", SUMIFS( '2024'!C:C,F:F, F162))</f>
        <v/>
      </c>
      <c r="H162" s="3" t="str">
        <f>IF(F162=F161, "", SUMIFS( '2024'!U:U,F:F, F162))</f>
        <v/>
      </c>
    </row>
    <row r="163" spans="6:8">
      <c r="F163" s="16" t="str">
        <f t="shared" si="2"/>
        <v/>
      </c>
      <c r="G163" s="15" t="str">
        <f>IF(F163=F162, "", SUMIFS( '2024'!C:C,F:F, F163))</f>
        <v/>
      </c>
      <c r="H163" s="3" t="str">
        <f>IF(F163=F162, "", SUMIFS( '2024'!U:U,F:F, F163))</f>
        <v/>
      </c>
    </row>
    <row r="164" spans="6:8">
      <c r="F164" s="16" t="str">
        <f t="shared" si="2"/>
        <v/>
      </c>
      <c r="G164" s="15" t="str">
        <f>IF(F164=F163, "", SUMIFS( '2024'!C:C,F:F, F164))</f>
        <v/>
      </c>
      <c r="H164" s="3" t="str">
        <f>IF(F164=F163, "", SUMIFS( '2024'!U:U,F:F, F164))</f>
        <v/>
      </c>
    </row>
    <row r="165" spans="6:8">
      <c r="F165" s="16" t="str">
        <f t="shared" si="2"/>
        <v/>
      </c>
      <c r="G165" s="15" t="str">
        <f>IF(F165=F164, "", SUMIFS( '2024'!C:C,F:F, F165))</f>
        <v/>
      </c>
      <c r="H165" s="3" t="str">
        <f>IF(F165=F164, "", SUMIFS( '2024'!U:U,F:F, F165))</f>
        <v/>
      </c>
    </row>
    <row r="166" spans="6:8">
      <c r="F166" s="16" t="str">
        <f t="shared" si="2"/>
        <v/>
      </c>
      <c r="G166" s="15" t="str">
        <f>IF(F166=F165, "", SUMIFS( '2024'!C:C,F:F, F166))</f>
        <v/>
      </c>
      <c r="H166" s="3" t="str">
        <f>IF(F166=F165, "", SUMIFS( '2024'!U:U,F:F, F166))</f>
        <v/>
      </c>
    </row>
    <row r="167" spans="6:8">
      <c r="F167" s="16" t="str">
        <f t="shared" si="2"/>
        <v/>
      </c>
      <c r="G167" s="15" t="str">
        <f>IF(F167=F166, "", SUMIFS( '2024'!C:C,F:F, F167))</f>
        <v/>
      </c>
      <c r="H167" s="3" t="str">
        <f>IF(F167=F166, "", SUMIFS( '2024'!U:U,F:F, F167))</f>
        <v/>
      </c>
    </row>
    <row r="168" spans="6:8">
      <c r="F168" s="16" t="str">
        <f t="shared" si="2"/>
        <v/>
      </c>
      <c r="G168" s="15" t="str">
        <f>IF(F168=F167, "", SUMIFS( '2024'!C:C,F:F, F168))</f>
        <v/>
      </c>
      <c r="H168" s="3" t="str">
        <f>IF(F168=F167, "", SUMIFS( '2024'!U:U,F:F, F168))</f>
        <v/>
      </c>
    </row>
    <row r="169" spans="6:8">
      <c r="F169" s="16" t="str">
        <f t="shared" si="2"/>
        <v/>
      </c>
      <c r="G169" s="15" t="str">
        <f>IF(F169=F168, "", SUMIFS( '2024'!C:C,F:F, F169))</f>
        <v/>
      </c>
      <c r="H169" s="3" t="str">
        <f>IF(F169=F168, "", SUMIFS( '2024'!U:U,F:F, F169))</f>
        <v/>
      </c>
    </row>
    <row r="170" spans="6:8">
      <c r="F170" s="16" t="str">
        <f t="shared" si="2"/>
        <v/>
      </c>
      <c r="G170" s="15" t="str">
        <f>IF(F170=F169, "", SUMIFS( '2024'!C:C,F:F, F170))</f>
        <v/>
      </c>
      <c r="H170" s="3" t="str">
        <f>IF(F170=F169, "", SUMIFS( '2024'!U:U,F:F, F170))</f>
        <v/>
      </c>
    </row>
    <row r="171" spans="6:8">
      <c r="F171" s="16" t="str">
        <f t="shared" si="2"/>
        <v/>
      </c>
      <c r="G171" s="15" t="str">
        <f>IF(F171=F170, "", SUMIFS( '2024'!C:C,F:F, F171))</f>
        <v/>
      </c>
      <c r="H171" s="3" t="str">
        <f>IF(F171=F170, "", SUMIFS( '2024'!U:U,F:F, F171))</f>
        <v/>
      </c>
    </row>
    <row r="172" spans="6:8">
      <c r="F172" s="16" t="str">
        <f t="shared" si="2"/>
        <v/>
      </c>
      <c r="G172" s="15" t="str">
        <f>IF(F172=F171, "", SUMIFS( '2024'!C:C,F:F, F172))</f>
        <v/>
      </c>
      <c r="H172" s="3" t="str">
        <f>IF(F172=F171, "", SUMIFS( '2024'!U:U,F:F, F172))</f>
        <v/>
      </c>
    </row>
    <row r="173" spans="6:8">
      <c r="F173" s="16" t="str">
        <f t="shared" si="2"/>
        <v/>
      </c>
      <c r="G173" s="15" t="str">
        <f>IF(F173=F172, "", SUMIFS( '2024'!C:C,F:F, F173))</f>
        <v/>
      </c>
      <c r="H173" s="3" t="str">
        <f>IF(F173=F172, "", SUMIFS( '2024'!U:U,F:F, F173))</f>
        <v/>
      </c>
    </row>
    <row r="174" spans="6:8">
      <c r="F174" s="16" t="str">
        <f t="shared" si="2"/>
        <v/>
      </c>
      <c r="G174" s="15" t="str">
        <f>IF(F174=F173, "", SUMIFS( '2024'!C:C,F:F, F174))</f>
        <v/>
      </c>
      <c r="H174" s="3" t="str">
        <f>IF(F174=F173, "", SUMIFS( '2024'!U:U,F:F, F174))</f>
        <v/>
      </c>
    </row>
    <row r="175" spans="6:8">
      <c r="F175" s="16" t="str">
        <f t="shared" si="2"/>
        <v/>
      </c>
      <c r="G175" s="15" t="str">
        <f>IF(F175=F174, "", SUMIFS( '2024'!C:C,F:F, F175))</f>
        <v/>
      </c>
      <c r="H175" s="3" t="str">
        <f>IF(F175=F174, "", SUMIFS( '2024'!U:U,F:F, F175))</f>
        <v/>
      </c>
    </row>
    <row r="176" spans="6:8">
      <c r="F176" s="16" t="str">
        <f t="shared" si="2"/>
        <v/>
      </c>
      <c r="G176" s="15" t="str">
        <f>IF(F176=F175, "", SUMIFS( '2024'!C:C,F:F, F176))</f>
        <v/>
      </c>
      <c r="H176" s="3" t="str">
        <f>IF(F176=F175, "", SUMIFS( '2024'!U:U,F:F, F176))</f>
        <v/>
      </c>
    </row>
    <row r="177" spans="6:8">
      <c r="F177" s="16" t="str">
        <f t="shared" si="2"/>
        <v/>
      </c>
      <c r="G177" s="15" t="str">
        <f>IF(F177=F176, "", SUMIFS( '2024'!C:C,F:F, F177))</f>
        <v/>
      </c>
      <c r="H177" s="3" t="str">
        <f>IF(F177=F176, "", SUMIFS( '2024'!U:U,F:F, F177))</f>
        <v/>
      </c>
    </row>
    <row r="178" spans="6:8">
      <c r="F178" s="16" t="str">
        <f t="shared" si="2"/>
        <v/>
      </c>
      <c r="G178" s="15" t="str">
        <f>IF(F178=F177, "", SUMIFS( '2024'!C:C,F:F, F178))</f>
        <v/>
      </c>
      <c r="H178" s="3" t="str">
        <f>IF(F178=F177, "", SUMIFS( '2024'!U:U,F:F, F178))</f>
        <v/>
      </c>
    </row>
    <row r="179" spans="6:8">
      <c r="F179" s="16" t="str">
        <f t="shared" si="2"/>
        <v/>
      </c>
      <c r="G179" s="15" t="str">
        <f>IF(F179=F178, "", SUMIFS( '2024'!C:C,F:F, F179))</f>
        <v/>
      </c>
      <c r="H179" s="3" t="str">
        <f>IF(F179=F178, "", SUMIFS( '2024'!U:U,F:F, F179))</f>
        <v/>
      </c>
    </row>
    <row r="180" spans="6:8">
      <c r="F180" s="16" t="str">
        <f t="shared" si="2"/>
        <v/>
      </c>
      <c r="G180" s="15" t="str">
        <f>IF(F180=F179, "", SUMIFS( '2024'!C:C,F:F, F180))</f>
        <v/>
      </c>
      <c r="H180" s="3" t="str">
        <f>IF(F180=F179, "", SUMIFS( '2024'!U:U,F:F, F180))</f>
        <v/>
      </c>
    </row>
    <row r="181" spans="6:8">
      <c r="F181" s="16" t="str">
        <f t="shared" si="2"/>
        <v/>
      </c>
      <c r="G181" s="15" t="str">
        <f>IF(F181=F180, "", SUMIFS( '2024'!C:C,F:F, F181))</f>
        <v/>
      </c>
      <c r="H181" s="3" t="str">
        <f>IF(F181=F180, "", SUMIFS( '2024'!U:U,F:F, F181))</f>
        <v/>
      </c>
    </row>
    <row r="182" spans="6:8">
      <c r="F182" s="16" t="str">
        <f t="shared" si="2"/>
        <v/>
      </c>
      <c r="G182" s="15" t="str">
        <f>IF(F182=F181, "", SUMIFS( '2024'!C:C,F:F, F182))</f>
        <v/>
      </c>
      <c r="H182" s="3" t="str">
        <f>IF(F182=F181, "", SUMIFS( '2024'!U:U,F:F, F182))</f>
        <v/>
      </c>
    </row>
    <row r="183" spans="6:8">
      <c r="F183" s="16" t="str">
        <f t="shared" si="2"/>
        <v/>
      </c>
      <c r="G183" s="15" t="str">
        <f>IF(F183=F182, "", SUMIFS( '2024'!C:C,F:F, F183))</f>
        <v/>
      </c>
      <c r="H183" s="3" t="str">
        <f>IF(F183=F182, "", SUMIFS( '2024'!U:U,F:F, F183))</f>
        <v/>
      </c>
    </row>
    <row r="184" spans="6:8">
      <c r="F184" s="16" t="str">
        <f t="shared" si="2"/>
        <v/>
      </c>
      <c r="G184" s="15" t="str">
        <f>IF(F184=F183, "", SUMIFS( '2024'!C:C,F:F, F184))</f>
        <v/>
      </c>
      <c r="H184" s="3" t="str">
        <f>IF(F184=F183, "", SUMIFS( '2024'!U:U,F:F, F184))</f>
        <v/>
      </c>
    </row>
    <row r="185" spans="6:8">
      <c r="F185" s="16" t="str">
        <f t="shared" si="2"/>
        <v/>
      </c>
      <c r="G185" s="15" t="str">
        <f>IF(F185=F184, "", SUMIFS( '2024'!C:C,F:F, F185))</f>
        <v/>
      </c>
      <c r="H185" s="3" t="str">
        <f>IF(F185=F184, "", SUMIFS( '2024'!U:U,F:F, F185))</f>
        <v/>
      </c>
    </row>
    <row r="186" spans="6:8">
      <c r="F186" s="16" t="str">
        <f t="shared" si="2"/>
        <v/>
      </c>
      <c r="G186" s="15" t="str">
        <f>IF(F186=F185, "", SUMIFS( '2024'!C:C,F:F, F186))</f>
        <v/>
      </c>
      <c r="H186" s="3" t="str">
        <f>IF(F186=F185, "", SUMIFS( '2024'!U:U,F:F, F186))</f>
        <v/>
      </c>
    </row>
    <row r="187" spans="6:8">
      <c r="F187" s="16" t="str">
        <f t="shared" si="2"/>
        <v/>
      </c>
      <c r="G187" s="15" t="str">
        <f>IF(F187=F186, "", SUMIFS( '2024'!C:C,F:F, F187))</f>
        <v/>
      </c>
      <c r="H187" s="3" t="str">
        <f>IF(F187=F186, "", SUMIFS( '2024'!U:U,F:F, F187))</f>
        <v/>
      </c>
    </row>
    <row r="188" spans="6:8">
      <c r="F188" s="16" t="str">
        <f t="shared" si="2"/>
        <v/>
      </c>
      <c r="G188" s="15" t="str">
        <f>IF(F188=F187, "", SUMIFS( '2024'!C:C,F:F, F188))</f>
        <v/>
      </c>
      <c r="H188" s="3" t="str">
        <f>IF(F188=F187, "", SUMIFS( '2024'!U:U,F:F, F188))</f>
        <v/>
      </c>
    </row>
    <row r="189" spans="6:8">
      <c r="F189" s="16" t="str">
        <f t="shared" si="2"/>
        <v/>
      </c>
      <c r="G189" s="15" t="str">
        <f>IF(F189=F188, "", SUMIFS( '2024'!C:C,F:F, F189))</f>
        <v/>
      </c>
      <c r="H189" s="3" t="str">
        <f>IF(F189=F188, "", SUMIFS( '2024'!U:U,F:F, F189))</f>
        <v/>
      </c>
    </row>
    <row r="190" spans="6:8">
      <c r="F190" s="16" t="str">
        <f t="shared" si="2"/>
        <v/>
      </c>
      <c r="G190" s="15" t="str">
        <f>IF(F190=F189, "", SUMIFS( '2024'!C:C,F:F, F190))</f>
        <v/>
      </c>
      <c r="H190" s="3" t="str">
        <f>IF(F190=F189, "", SUMIFS( '2024'!U:U,F:F, F190))</f>
        <v/>
      </c>
    </row>
    <row r="191" spans="6:8">
      <c r="F191" s="16" t="str">
        <f t="shared" si="2"/>
        <v/>
      </c>
      <c r="G191" s="15" t="str">
        <f>IF(F191=F190, "", SUMIFS( '2024'!C:C,F:F, F191))</f>
        <v/>
      </c>
      <c r="H191" s="3" t="str">
        <f>IF(F191=F190, "", SUMIFS( '2024'!U:U,F:F, F191))</f>
        <v/>
      </c>
    </row>
    <row r="192" spans="6:8">
      <c r="F192" s="16" t="str">
        <f t="shared" si="2"/>
        <v/>
      </c>
      <c r="G192" s="15" t="str">
        <f>IF(F192=F191, "", SUMIFS( '2024'!C:C,F:F, F192))</f>
        <v/>
      </c>
      <c r="H192" s="3" t="str">
        <f>IF(F192=F191, "", SUMIFS( '2024'!U:U,F:F, F192))</f>
        <v/>
      </c>
    </row>
    <row r="193" spans="6:8">
      <c r="F193" s="16" t="str">
        <f t="shared" si="2"/>
        <v/>
      </c>
      <c r="G193" s="15" t="str">
        <f>IF(F193=F192, "", SUMIFS( '2024'!C:C,F:F, F193))</f>
        <v/>
      </c>
      <c r="H193" s="3" t="str">
        <f>IF(F193=F192, "", SUMIFS( '2024'!U:U,F:F, F193))</f>
        <v/>
      </c>
    </row>
    <row r="194" spans="6:8">
      <c r="F194" s="16" t="str">
        <f t="shared" si="2"/>
        <v/>
      </c>
      <c r="G194" s="15" t="str">
        <f>IF(F194=F193, "", SUMIFS( '2024'!C:C,F:F, F194))</f>
        <v/>
      </c>
      <c r="H194" s="3" t="str">
        <f>IF(F194=F193, "", SUMIFS( '2024'!U:U,F:F, F194))</f>
        <v/>
      </c>
    </row>
    <row r="195" spans="6:8">
      <c r="F195" s="16" t="str">
        <f t="shared" si="2"/>
        <v/>
      </c>
      <c r="G195" s="15" t="str">
        <f>IF(F195=F194, "", SUMIFS( '2024'!C:C,F:F, F195))</f>
        <v/>
      </c>
      <c r="H195" s="3" t="str">
        <f>IF(F195=F194, "", SUMIFS( '2024'!U:U,F:F, F195))</f>
        <v/>
      </c>
    </row>
    <row r="196" spans="6:8">
      <c r="F196" s="16" t="str">
        <f t="shared" si="2"/>
        <v/>
      </c>
      <c r="G196" s="15" t="str">
        <f>IF(F196=F195, "", SUMIFS( '2024'!C:C,F:F, F196))</f>
        <v/>
      </c>
      <c r="H196" s="3" t="str">
        <f>IF(F196=F195, "", SUMIFS( '2024'!U:U,F:F, F196))</f>
        <v/>
      </c>
    </row>
    <row r="197" spans="6:8">
      <c r="F197" s="16" t="str">
        <f t="shared" si="2"/>
        <v/>
      </c>
      <c r="G197" s="15" t="str">
        <f>IF(F197=F196, "", SUMIFS( '2024'!C:C,F:F, F197))</f>
        <v/>
      </c>
      <c r="H197" s="3" t="str">
        <f>IF(F197=F196, "", SUMIFS( '2024'!U:U,F:F, F197))</f>
        <v/>
      </c>
    </row>
    <row r="198" spans="6:8">
      <c r="F198" s="16" t="str">
        <f t="shared" si="2"/>
        <v/>
      </c>
      <c r="G198" s="15" t="str">
        <f>IF(F198=F197, "", SUMIFS( '2024'!C:C,F:F, F198))</f>
        <v/>
      </c>
      <c r="H198" s="3" t="str">
        <f>IF(F198=F197, "", SUMIFS( '2024'!U:U,F:F, F198))</f>
        <v/>
      </c>
    </row>
    <row r="199" spans="6:8">
      <c r="F199" s="16" t="str">
        <f t="shared" si="2"/>
        <v/>
      </c>
      <c r="G199" s="15" t="str">
        <f>IF(F199=F198, "", SUMIFS( '2024'!C:C,F:F, F199))</f>
        <v/>
      </c>
      <c r="H199" s="3" t="str">
        <f>IF(F199=F198, "", SUMIFS( '2024'!U:U,F:F, F199))</f>
        <v/>
      </c>
    </row>
    <row r="200" spans="6:8">
      <c r="F200" s="16" t="str">
        <f t="shared" si="2"/>
        <v/>
      </c>
      <c r="G200" s="15" t="str">
        <f>IF(F200=F199, "", SUMIFS( '2024'!C:C,F:F, F200))</f>
        <v/>
      </c>
      <c r="H200" s="3" t="str">
        <f>IF(F200=F199, "", SUMIFS( '2024'!U:U,F:F, F200))</f>
        <v/>
      </c>
    </row>
    <row r="201" spans="6:8">
      <c r="F201" s="16" t="str">
        <f t="shared" si="2"/>
        <v/>
      </c>
      <c r="G201" s="15" t="str">
        <f>IF(F201=F200, "", SUMIFS( '2024'!C:C,F:F, F201))</f>
        <v/>
      </c>
      <c r="H201" s="3" t="str">
        <f>IF(F201=F200, "", SUMIFS( '2024'!U:U,F:F, F201))</f>
        <v/>
      </c>
    </row>
    <row r="202" spans="6:8">
      <c r="F202" s="16" t="str">
        <f t="shared" si="2"/>
        <v/>
      </c>
      <c r="G202" s="15" t="str">
        <f>IF(F202=F201, "", SUMIFS( '2024'!C:C,F:F, F202))</f>
        <v/>
      </c>
      <c r="H202" s="3" t="str">
        <f>IF(F202=F201, "", SUMIFS( '2024'!U:U,F:F, F202))</f>
        <v/>
      </c>
    </row>
    <row r="203" spans="6:8">
      <c r="F203" s="16" t="str">
        <f t="shared" si="2"/>
        <v/>
      </c>
      <c r="G203" s="15" t="str">
        <f>IF(F203=F202, "", SUMIFS( '2024'!C:C,F:F, F203))</f>
        <v/>
      </c>
      <c r="H203" s="3" t="str">
        <f>IF(F203=F202, "", SUMIFS( '2024'!U:U,F:F, F203))</f>
        <v/>
      </c>
    </row>
    <row r="204" spans="6:8">
      <c r="F204" s="16" t="str">
        <f t="shared" si="2"/>
        <v/>
      </c>
      <c r="G204" s="15" t="str">
        <f>IF(F204=F203, "", SUMIFS( '2024'!C:C,F:F, F204))</f>
        <v/>
      </c>
      <c r="H204" s="3" t="str">
        <f>IF(F204=F203, "", SUMIFS( '2024'!U:U,F:F, F204))</f>
        <v/>
      </c>
    </row>
    <row r="205" spans="6:8">
      <c r="F205" s="16" t="str">
        <f t="shared" si="2"/>
        <v/>
      </c>
      <c r="G205" s="15" t="str">
        <f>IF(F205=F204, "", SUMIFS( '2024'!C:C,F:F, F205))</f>
        <v/>
      </c>
      <c r="H205" s="3" t="str">
        <f>IF(F205=F204, "", SUMIFS( '2024'!U:U,F:F, F205))</f>
        <v/>
      </c>
    </row>
    <row r="206" spans="6:8">
      <c r="F206" s="16" t="str">
        <f t="shared" si="2"/>
        <v/>
      </c>
      <c r="G206" s="15" t="str">
        <f>IF(F206=F205, "", SUMIFS( '2024'!C:C,F:F, F206))</f>
        <v/>
      </c>
      <c r="H206" s="3" t="str">
        <f>IF(F206=F205, "", SUMIFS( '2024'!U:U,F:F, F206))</f>
        <v/>
      </c>
    </row>
    <row r="207" spans="6:8">
      <c r="F207" s="16" t="str">
        <f t="shared" si="2"/>
        <v/>
      </c>
      <c r="G207" s="15" t="str">
        <f>IF(F207=F206, "", SUMIFS( '2024'!C:C,F:F, F207))</f>
        <v/>
      </c>
      <c r="H207" s="3" t="str">
        <f>IF(F207=F206, "", SUMIFS( '2024'!U:U,F:F, F207))</f>
        <v/>
      </c>
    </row>
    <row r="208" spans="6:8">
      <c r="F208" s="16" t="str">
        <f t="shared" si="2"/>
        <v/>
      </c>
      <c r="G208" s="15" t="str">
        <f>IF(F208=F207, "", SUMIFS( '2024'!C:C,F:F, F208))</f>
        <v/>
      </c>
      <c r="H208" s="3" t="str">
        <f>IF(F208=F207, "", SUMIFS( '2024'!U:U,F:F, F208))</f>
        <v/>
      </c>
    </row>
    <row r="209" spans="6:8">
      <c r="F209" s="16" t="str">
        <f t="shared" si="2"/>
        <v/>
      </c>
      <c r="G209" s="15" t="str">
        <f>IF(F209=F208, "", SUMIFS( '2024'!C:C,F:F, F209))</f>
        <v/>
      </c>
      <c r="H209" s="3" t="str">
        <f>IF(F209=F208, "", SUMIFS( '2024'!U:U,F:F, F209))</f>
        <v/>
      </c>
    </row>
    <row r="210" spans="6:8">
      <c r="F210" s="16" t="str">
        <f t="shared" si="2"/>
        <v/>
      </c>
      <c r="G210" s="15" t="str">
        <f>IF(F210=F209, "", SUMIFS( '2024'!C:C,F:F, F210))</f>
        <v/>
      </c>
      <c r="H210" s="3" t="str">
        <f>IF(F210=F209, "", SUMIFS( '2024'!U:U,F:F, F210))</f>
        <v/>
      </c>
    </row>
    <row r="211" spans="6:8">
      <c r="F211" s="16" t="str">
        <f t="shared" si="2"/>
        <v/>
      </c>
      <c r="G211" s="15" t="str">
        <f>IF(F211=F210, "", SUMIFS( '2024'!C:C,F:F, F211))</f>
        <v/>
      </c>
      <c r="H211" s="3" t="str">
        <f>IF(F211=F210, "", SUMIFS( '2024'!U:U,F:F, F211))</f>
        <v/>
      </c>
    </row>
    <row r="212" spans="6:8">
      <c r="F212" s="16" t="str">
        <f t="shared" si="2"/>
        <v/>
      </c>
      <c r="G212" s="15" t="str">
        <f>IF(F212=F211, "", SUMIFS( '2024'!C:C,F:F, F212))</f>
        <v/>
      </c>
      <c r="H212" s="3" t="str">
        <f>IF(F212=F211, "", SUMIFS( '2024'!U:U,F:F, F212))</f>
        <v/>
      </c>
    </row>
    <row r="213" spans="6:8">
      <c r="F213" s="16" t="str">
        <f t="shared" si="2"/>
        <v/>
      </c>
      <c r="G213" s="15" t="str">
        <f>IF(F213=F212, "", SUMIFS( '2024'!C:C,F:F, F213))</f>
        <v/>
      </c>
      <c r="H213" s="3" t="str">
        <f>IF(F213=F212, "", SUMIFS( '2024'!U:U,F:F, F213))</f>
        <v/>
      </c>
    </row>
    <row r="214" spans="6:8">
      <c r="F214" s="16" t="str">
        <f t="shared" si="2"/>
        <v/>
      </c>
      <c r="G214" s="15" t="str">
        <f>IF(F214=F213, "", SUMIFS( '2024'!C:C,F:F, F214))</f>
        <v/>
      </c>
      <c r="H214" s="3" t="str">
        <f>IF(F214=F213, "", SUMIFS( '2024'!U:U,F:F, F214))</f>
        <v/>
      </c>
    </row>
    <row r="215" spans="6:8">
      <c r="F215" s="16" t="str">
        <f t="shared" si="2"/>
        <v/>
      </c>
      <c r="G215" s="15" t="str">
        <f>IF(F215=F214, "", SUMIFS( '2024'!C:C,F:F, F215))</f>
        <v/>
      </c>
      <c r="H215" s="3" t="str">
        <f>IF(F215=F214, "", SUMIFS( '2024'!U:U,F:F, F215))</f>
        <v/>
      </c>
    </row>
    <row r="216" spans="6:8">
      <c r="F216" s="16" t="str">
        <f t="shared" si="2"/>
        <v/>
      </c>
      <c r="G216" s="15" t="str">
        <f>IF(F216=F215, "", SUMIFS( '2024'!C:C,F:F, F216))</f>
        <v/>
      </c>
      <c r="H216" s="3" t="str">
        <f>IF(F216=F215, "", SUMIFS( '2024'!U:U,F:F, F216))</f>
        <v/>
      </c>
    </row>
    <row r="217" spans="6:8">
      <c r="F217" s="16" t="str">
        <f t="shared" si="2"/>
        <v/>
      </c>
      <c r="G217" s="15" t="str">
        <f>IF(F217=F216, "", SUMIFS( '2024'!C:C,F:F, F217))</f>
        <v/>
      </c>
      <c r="H217" s="3" t="str">
        <f>IF(F217=F216, "", SUMIFS( '2024'!U:U,F:F, F217))</f>
        <v/>
      </c>
    </row>
    <row r="218" spans="6:8">
      <c r="F218" s="16" t="str">
        <f t="shared" ref="F218:F281" si="3">IF(ISNUMBER(A218), A218 - WEEKDAY(A218, 2) + 1, F217)</f>
        <v/>
      </c>
      <c r="G218" s="15" t="str">
        <f>IF(F218=F217, "", SUMIFS( '2024'!C:C,F:F, F218))</f>
        <v/>
      </c>
      <c r="H218" s="3" t="str">
        <f>IF(F218=F217, "", SUMIFS( '2024'!U:U,F:F, F218))</f>
        <v/>
      </c>
    </row>
    <row r="219" spans="6:8">
      <c r="F219" s="16" t="str">
        <f t="shared" si="3"/>
        <v/>
      </c>
      <c r="G219" s="15" t="str">
        <f>IF(F219=F218, "", SUMIFS( '2024'!C:C,F:F, F219))</f>
        <v/>
      </c>
      <c r="H219" s="3" t="str">
        <f>IF(F219=F218, "", SUMIFS( '2024'!U:U,F:F, F219))</f>
        <v/>
      </c>
    </row>
    <row r="220" spans="6:8">
      <c r="F220" s="16" t="str">
        <f t="shared" si="3"/>
        <v/>
      </c>
      <c r="G220" s="15" t="str">
        <f>IF(F220=F219, "", SUMIFS( '2024'!C:C,F:F, F220))</f>
        <v/>
      </c>
      <c r="H220" s="3" t="str">
        <f>IF(F220=F219, "", SUMIFS( '2024'!U:U,F:F, F220))</f>
        <v/>
      </c>
    </row>
    <row r="221" spans="6:8">
      <c r="F221" s="16" t="str">
        <f t="shared" si="3"/>
        <v/>
      </c>
      <c r="G221" s="15" t="str">
        <f>IF(F221=F220, "", SUMIFS( '2024'!C:C,F:F, F221))</f>
        <v/>
      </c>
      <c r="H221" s="3" t="str">
        <f>IF(F221=F220, "", SUMIFS( '2024'!U:U,F:F, F221))</f>
        <v/>
      </c>
    </row>
    <row r="222" spans="6:8">
      <c r="F222" s="16" t="str">
        <f t="shared" si="3"/>
        <v/>
      </c>
      <c r="G222" s="15" t="str">
        <f>IF(F222=F221, "", SUMIFS( '2024'!C:C,F:F, F222))</f>
        <v/>
      </c>
      <c r="H222" s="3" t="str">
        <f>IF(F222=F221, "", SUMIFS( '2024'!U:U,F:F, F222))</f>
        <v/>
      </c>
    </row>
    <row r="223" spans="6:8">
      <c r="F223" s="16" t="str">
        <f t="shared" si="3"/>
        <v/>
      </c>
      <c r="G223" s="15" t="str">
        <f>IF(F223=F222, "", SUMIFS( '2024'!C:C,F:F, F223))</f>
        <v/>
      </c>
      <c r="H223" s="3" t="str">
        <f>IF(F223=F222, "", SUMIFS( '2024'!U:U,F:F, F223))</f>
        <v/>
      </c>
    </row>
    <row r="224" spans="6:8">
      <c r="F224" s="16" t="str">
        <f t="shared" si="3"/>
        <v/>
      </c>
      <c r="G224" s="15" t="str">
        <f>IF(F224=F223, "", SUMIFS( '2024'!C:C,F:F, F224))</f>
        <v/>
      </c>
      <c r="H224" s="3" t="str">
        <f>IF(F224=F223, "", SUMIFS( '2024'!U:U,F:F, F224))</f>
        <v/>
      </c>
    </row>
    <row r="225" spans="6:8">
      <c r="F225" s="16" t="str">
        <f t="shared" si="3"/>
        <v/>
      </c>
      <c r="G225" s="15" t="str">
        <f>IF(F225=F224, "", SUMIFS( '2024'!C:C,F:F, F225))</f>
        <v/>
      </c>
      <c r="H225" s="3" t="str">
        <f>IF(F225=F224, "", SUMIFS( '2024'!U:U,F:F, F225))</f>
        <v/>
      </c>
    </row>
    <row r="226" spans="6:8">
      <c r="F226" s="16" t="str">
        <f t="shared" si="3"/>
        <v/>
      </c>
      <c r="G226" s="15" t="str">
        <f>IF(F226=F225, "", SUMIFS( '2024'!C:C,F:F, F226))</f>
        <v/>
      </c>
      <c r="H226" s="3" t="str">
        <f>IF(F226=F225, "", SUMIFS( '2024'!U:U,F:F, F226))</f>
        <v/>
      </c>
    </row>
    <row r="227" spans="6:8">
      <c r="F227" s="16" t="str">
        <f t="shared" si="3"/>
        <v/>
      </c>
      <c r="G227" s="15" t="str">
        <f>IF(F227=F226, "", SUMIFS( '2024'!C:C,F:F, F227))</f>
        <v/>
      </c>
      <c r="H227" s="3" t="str">
        <f>IF(F227=F226, "", SUMIFS( '2024'!U:U,F:F, F227))</f>
        <v/>
      </c>
    </row>
    <row r="228" spans="6:8">
      <c r="F228" s="16" t="str">
        <f t="shared" si="3"/>
        <v/>
      </c>
      <c r="G228" s="15" t="str">
        <f>IF(F228=F227, "", SUMIFS( '2024'!C:C,F:F, F228))</f>
        <v/>
      </c>
      <c r="H228" s="3" t="str">
        <f>IF(F228=F227, "", SUMIFS( '2024'!U:U,F:F, F228))</f>
        <v/>
      </c>
    </row>
    <row r="229" spans="6:8">
      <c r="F229" s="16" t="str">
        <f t="shared" si="3"/>
        <v/>
      </c>
      <c r="G229" s="15" t="str">
        <f>IF(F229=F228, "", SUMIFS( '2024'!C:C,F:F, F229))</f>
        <v/>
      </c>
      <c r="H229" s="3" t="str">
        <f>IF(F229=F228, "", SUMIFS( '2024'!U:U,F:F, F229))</f>
        <v/>
      </c>
    </row>
    <row r="230" spans="6:8">
      <c r="F230" s="16" t="str">
        <f t="shared" si="3"/>
        <v/>
      </c>
      <c r="G230" s="15" t="str">
        <f>IF(F230=F229, "", SUMIFS( '2024'!C:C,F:F, F230))</f>
        <v/>
      </c>
      <c r="H230" s="3" t="str">
        <f>IF(F230=F229, "", SUMIFS( '2024'!U:U,F:F, F230))</f>
        <v/>
      </c>
    </row>
    <row r="231" spans="6:8">
      <c r="F231" s="16" t="str">
        <f t="shared" si="3"/>
        <v/>
      </c>
      <c r="G231" s="15" t="str">
        <f>IF(F231=F230, "", SUMIFS( '2024'!C:C,F:F, F231))</f>
        <v/>
      </c>
      <c r="H231" s="3" t="str">
        <f>IF(F231=F230, "", SUMIFS( '2024'!U:U,F:F, F231))</f>
        <v/>
      </c>
    </row>
    <row r="232" spans="6:8">
      <c r="F232" s="16" t="str">
        <f t="shared" si="3"/>
        <v/>
      </c>
      <c r="G232" s="15" t="str">
        <f>IF(F232=F231, "", SUMIFS( '2024'!C:C,F:F, F232))</f>
        <v/>
      </c>
      <c r="H232" s="3" t="str">
        <f>IF(F232=F231, "", SUMIFS( '2024'!U:U,F:F, F232))</f>
        <v/>
      </c>
    </row>
    <row r="233" spans="6:8">
      <c r="F233" s="16" t="str">
        <f t="shared" si="3"/>
        <v/>
      </c>
      <c r="G233" s="15" t="str">
        <f>IF(F233=F232, "", SUMIFS( '2024'!C:C,F:F, F233))</f>
        <v/>
      </c>
      <c r="H233" s="3" t="str">
        <f>IF(F233=F232, "", SUMIFS( '2024'!U:U,F:F, F233))</f>
        <v/>
      </c>
    </row>
    <row r="234" spans="6:8">
      <c r="F234" s="16" t="str">
        <f t="shared" si="3"/>
        <v/>
      </c>
      <c r="G234" s="15" t="str">
        <f>IF(F234=F233, "", SUMIFS( '2024'!C:C,F:F, F234))</f>
        <v/>
      </c>
      <c r="H234" s="3" t="str">
        <f>IF(F234=F233, "", SUMIFS( '2024'!U:U,F:F, F234))</f>
        <v/>
      </c>
    </row>
    <row r="235" spans="6:8">
      <c r="F235" s="16" t="str">
        <f t="shared" si="3"/>
        <v/>
      </c>
      <c r="G235" s="15" t="str">
        <f>IF(F235=F234, "", SUMIFS( '2024'!C:C,F:F, F235))</f>
        <v/>
      </c>
      <c r="H235" s="3" t="str">
        <f>IF(F235=F234, "", SUMIFS( '2024'!U:U,F:F, F235))</f>
        <v/>
      </c>
    </row>
    <row r="236" spans="6:8">
      <c r="F236" s="16" t="str">
        <f t="shared" si="3"/>
        <v/>
      </c>
      <c r="G236" s="15" t="str">
        <f>IF(F236=F235, "", SUMIFS( '2024'!C:C,F:F, F236))</f>
        <v/>
      </c>
      <c r="H236" s="3" t="str">
        <f>IF(F236=F235, "", SUMIFS( '2024'!U:U,F:F, F236))</f>
        <v/>
      </c>
    </row>
    <row r="237" spans="6:8">
      <c r="F237" s="16" t="str">
        <f t="shared" si="3"/>
        <v/>
      </c>
      <c r="G237" s="15" t="str">
        <f>IF(F237=F236, "", SUMIFS( '2024'!C:C,F:F, F237))</f>
        <v/>
      </c>
      <c r="H237" s="3" t="str">
        <f>IF(F237=F236, "", SUMIFS( '2024'!U:U,F:F, F237))</f>
        <v/>
      </c>
    </row>
    <row r="238" spans="6:8">
      <c r="F238" s="16" t="str">
        <f t="shared" si="3"/>
        <v/>
      </c>
      <c r="G238" s="15" t="str">
        <f>IF(F238=F237, "", SUMIFS( '2024'!C:C,F:F, F238))</f>
        <v/>
      </c>
      <c r="H238" s="3" t="str">
        <f>IF(F238=F237, "", SUMIFS( '2024'!U:U,F:F, F238))</f>
        <v/>
      </c>
    </row>
    <row r="239" spans="6:8">
      <c r="F239" s="16" t="str">
        <f t="shared" si="3"/>
        <v/>
      </c>
      <c r="G239" s="15" t="str">
        <f>IF(F239=F238, "", SUMIFS( '2024'!C:C,F:F, F239))</f>
        <v/>
      </c>
      <c r="H239" s="3" t="str">
        <f>IF(F239=F238, "", SUMIFS( '2024'!U:U,F:F, F239))</f>
        <v/>
      </c>
    </row>
    <row r="240" spans="6:8">
      <c r="F240" s="16" t="str">
        <f t="shared" si="3"/>
        <v/>
      </c>
      <c r="G240" s="15" t="str">
        <f>IF(F240=F239, "", SUMIFS( '2024'!C:C,F:F, F240))</f>
        <v/>
      </c>
      <c r="H240" s="3" t="str">
        <f>IF(F240=F239, "", SUMIFS( '2024'!U:U,F:F, F240))</f>
        <v/>
      </c>
    </row>
    <row r="241" spans="6:8">
      <c r="F241" s="16" t="str">
        <f t="shared" si="3"/>
        <v/>
      </c>
      <c r="G241" s="15" t="str">
        <f>IF(F241=F240, "", SUMIFS( '2024'!C:C,F:F, F241))</f>
        <v/>
      </c>
      <c r="H241" s="3" t="str">
        <f>IF(F241=F240, "", SUMIFS( '2024'!U:U,F:F, F241))</f>
        <v/>
      </c>
    </row>
    <row r="242" spans="6:8">
      <c r="F242" s="16" t="str">
        <f t="shared" si="3"/>
        <v/>
      </c>
      <c r="G242" s="15" t="str">
        <f>IF(F242=F241, "", SUMIFS( '2024'!C:C,F:F, F242))</f>
        <v/>
      </c>
      <c r="H242" s="3" t="str">
        <f>IF(F242=F241, "", SUMIFS( '2024'!U:U,F:F, F242))</f>
        <v/>
      </c>
    </row>
    <row r="243" spans="6:8">
      <c r="F243" s="16" t="str">
        <f t="shared" si="3"/>
        <v/>
      </c>
      <c r="G243" s="15" t="str">
        <f>IF(F243=F242, "", SUMIFS( '2024'!C:C,F:F, F243))</f>
        <v/>
      </c>
      <c r="H243" s="3" t="str">
        <f>IF(F243=F242, "", SUMIFS( '2024'!U:U,F:F, F243))</f>
        <v/>
      </c>
    </row>
    <row r="244" spans="6:8">
      <c r="F244" s="16" t="str">
        <f t="shared" si="3"/>
        <v/>
      </c>
      <c r="G244" s="15" t="str">
        <f>IF(F244=F243, "", SUMIFS( '2024'!C:C,F:F, F244))</f>
        <v/>
      </c>
      <c r="H244" s="3" t="str">
        <f>IF(F244=F243, "", SUMIFS( '2024'!U:U,F:F, F244))</f>
        <v/>
      </c>
    </row>
    <row r="245" spans="6:8">
      <c r="F245" s="16" t="str">
        <f t="shared" si="3"/>
        <v/>
      </c>
      <c r="G245" s="15" t="str">
        <f>IF(F245=F244, "", SUMIFS( '2024'!C:C,F:F, F245))</f>
        <v/>
      </c>
      <c r="H245" s="3" t="str">
        <f>IF(F245=F244, "", SUMIFS( '2024'!U:U,F:F, F245))</f>
        <v/>
      </c>
    </row>
    <row r="246" spans="6:8">
      <c r="F246" s="16" t="str">
        <f t="shared" si="3"/>
        <v/>
      </c>
      <c r="G246" s="15" t="str">
        <f>IF(F246=F245, "", SUMIFS( '2024'!C:C,F:F, F246))</f>
        <v/>
      </c>
      <c r="H246" s="3" t="str">
        <f>IF(F246=F245, "", SUMIFS( '2024'!U:U,F:F, F246))</f>
        <v/>
      </c>
    </row>
    <row r="247" spans="6:8">
      <c r="F247" s="16" t="str">
        <f t="shared" si="3"/>
        <v/>
      </c>
      <c r="G247" s="15" t="str">
        <f>IF(F247=F246, "", SUMIFS( '2024'!C:C,F:F, F247))</f>
        <v/>
      </c>
      <c r="H247" s="3" t="str">
        <f>IF(F247=F246, "", SUMIFS( '2024'!U:U,F:F, F247))</f>
        <v/>
      </c>
    </row>
    <row r="248" spans="6:8">
      <c r="F248" s="16" t="str">
        <f t="shared" si="3"/>
        <v/>
      </c>
      <c r="G248" s="15" t="str">
        <f>IF(F248=F247, "", SUMIFS( '2024'!C:C,F:F, F248))</f>
        <v/>
      </c>
      <c r="H248" s="3" t="str">
        <f>IF(F248=F247, "", SUMIFS( '2024'!U:U,F:F, F248))</f>
        <v/>
      </c>
    </row>
    <row r="249" spans="6:8">
      <c r="F249" s="16" t="str">
        <f t="shared" si="3"/>
        <v/>
      </c>
      <c r="G249" s="15" t="str">
        <f>IF(F249=F248, "", SUMIFS( '2024'!C:C,F:F, F249))</f>
        <v/>
      </c>
      <c r="H249" s="3" t="str">
        <f>IF(F249=F248, "", SUMIFS( '2024'!U:U,F:F, F249))</f>
        <v/>
      </c>
    </row>
    <row r="250" spans="6:8">
      <c r="F250" s="16" t="str">
        <f t="shared" si="3"/>
        <v/>
      </c>
      <c r="G250" s="15" t="str">
        <f>IF(F250=F249, "", SUMIFS( '2024'!C:C,F:F, F250))</f>
        <v/>
      </c>
      <c r="H250" s="3" t="str">
        <f>IF(F250=F249, "", SUMIFS( '2024'!U:U,F:F, F250))</f>
        <v/>
      </c>
    </row>
    <row r="251" spans="6:8">
      <c r="F251" s="16" t="str">
        <f t="shared" si="3"/>
        <v/>
      </c>
      <c r="G251" s="15" t="str">
        <f>IF(F251=F250, "", SUMIFS( '2024'!C:C,F:F, F251))</f>
        <v/>
      </c>
      <c r="H251" s="3" t="str">
        <f>IF(F251=F250, "", SUMIFS( '2024'!U:U,F:F, F251))</f>
        <v/>
      </c>
    </row>
    <row r="252" spans="6:8">
      <c r="F252" s="16" t="str">
        <f t="shared" si="3"/>
        <v/>
      </c>
      <c r="G252" s="15" t="str">
        <f>IF(F252=F251, "", SUMIFS( '2024'!C:C,F:F, F252))</f>
        <v/>
      </c>
      <c r="H252" s="3" t="str">
        <f>IF(F252=F251, "", SUMIFS( '2024'!U:U,F:F, F252))</f>
        <v/>
      </c>
    </row>
    <row r="253" spans="6:8">
      <c r="F253" s="16" t="str">
        <f t="shared" si="3"/>
        <v/>
      </c>
      <c r="G253" s="15" t="str">
        <f>IF(F253=F252, "", SUMIFS( '2024'!C:C,F:F, F253))</f>
        <v/>
      </c>
      <c r="H253" s="3" t="str">
        <f>IF(F253=F252, "", SUMIFS( '2024'!U:U,F:F, F253))</f>
        <v/>
      </c>
    </row>
    <row r="254" spans="6:8">
      <c r="F254" s="16" t="str">
        <f t="shared" si="3"/>
        <v/>
      </c>
      <c r="G254" s="15" t="str">
        <f>IF(F254=F253, "", SUMIFS( '2024'!C:C,F:F, F254))</f>
        <v/>
      </c>
      <c r="H254" s="3" t="str">
        <f>IF(F254=F253, "", SUMIFS( '2024'!U:U,F:F, F254))</f>
        <v/>
      </c>
    </row>
    <row r="255" spans="6:8">
      <c r="F255" s="16" t="str">
        <f t="shared" si="3"/>
        <v/>
      </c>
      <c r="G255" s="15" t="str">
        <f>IF(F255=F254, "", SUMIFS( '2024'!C:C,F:F, F255))</f>
        <v/>
      </c>
      <c r="H255" s="3" t="str">
        <f>IF(F255=F254, "", SUMIFS( '2024'!U:U,F:F, F255))</f>
        <v/>
      </c>
    </row>
    <row r="256" spans="6:8">
      <c r="F256" s="16" t="str">
        <f t="shared" si="3"/>
        <v/>
      </c>
      <c r="G256" s="15" t="str">
        <f>IF(F256=F255, "", SUMIFS( '2024'!C:C,F:F, F256))</f>
        <v/>
      </c>
      <c r="H256" s="3" t="str">
        <f>IF(F256=F255, "", SUMIFS( '2024'!U:U,F:F, F256))</f>
        <v/>
      </c>
    </row>
    <row r="257" spans="6:8">
      <c r="F257" s="16" t="str">
        <f t="shared" si="3"/>
        <v/>
      </c>
      <c r="G257" s="15" t="str">
        <f>IF(F257=F256, "", SUMIFS( '2024'!C:C,F:F, F257))</f>
        <v/>
      </c>
      <c r="H257" s="3" t="str">
        <f>IF(F257=F256, "", SUMIFS( '2024'!U:U,F:F, F257))</f>
        <v/>
      </c>
    </row>
    <row r="258" spans="6:8">
      <c r="F258" s="16" t="str">
        <f t="shared" si="3"/>
        <v/>
      </c>
      <c r="G258" s="15" t="str">
        <f>IF(F258=F257, "", SUMIFS( '2024'!C:C,F:F, F258))</f>
        <v/>
      </c>
      <c r="H258" s="3" t="str">
        <f>IF(F258=F257, "", SUMIFS( '2024'!U:U,F:F, F258))</f>
        <v/>
      </c>
    </row>
    <row r="259" spans="6:8">
      <c r="F259" s="16" t="str">
        <f t="shared" si="3"/>
        <v/>
      </c>
      <c r="G259" s="15" t="str">
        <f>IF(F259=F258, "", SUMIFS( '2024'!C:C,F:F, F259))</f>
        <v/>
      </c>
      <c r="H259" s="3" t="str">
        <f>IF(F259=F258, "", SUMIFS( '2024'!U:U,F:F, F259))</f>
        <v/>
      </c>
    </row>
    <row r="260" spans="6:8">
      <c r="F260" s="16" t="str">
        <f t="shared" si="3"/>
        <v/>
      </c>
      <c r="G260" s="15" t="str">
        <f>IF(F260=F259, "", SUMIFS( '2024'!C:C,F:F, F260))</f>
        <v/>
      </c>
      <c r="H260" s="3" t="str">
        <f>IF(F260=F259, "", SUMIFS( '2024'!U:U,F:F, F260))</f>
        <v/>
      </c>
    </row>
    <row r="261" spans="6:8">
      <c r="F261" s="16" t="str">
        <f t="shared" si="3"/>
        <v/>
      </c>
      <c r="G261" s="15" t="str">
        <f>IF(F261=F260, "", SUMIFS( '2024'!C:C,F:F, F261))</f>
        <v/>
      </c>
      <c r="H261" s="3" t="str">
        <f>IF(F261=F260, "", SUMIFS( '2024'!U:U,F:F, F261))</f>
        <v/>
      </c>
    </row>
    <row r="262" spans="6:8">
      <c r="F262" s="16" t="str">
        <f t="shared" si="3"/>
        <v/>
      </c>
      <c r="G262" s="15" t="str">
        <f>IF(F262=F261, "", SUMIFS( '2024'!C:C,F:F, F262))</f>
        <v/>
      </c>
      <c r="H262" s="3" t="str">
        <f>IF(F262=F261, "", SUMIFS( '2024'!U:U,F:F, F262))</f>
        <v/>
      </c>
    </row>
    <row r="263" spans="6:8">
      <c r="F263" s="16" t="str">
        <f t="shared" si="3"/>
        <v/>
      </c>
      <c r="G263" s="15" t="str">
        <f>IF(F263=F262, "", SUMIFS( '2024'!C:C,F:F, F263))</f>
        <v/>
      </c>
      <c r="H263" s="3" t="str">
        <f>IF(F263=F262, "", SUMIFS( '2024'!U:U,F:F, F263))</f>
        <v/>
      </c>
    </row>
    <row r="264" spans="6:8">
      <c r="F264" s="16" t="str">
        <f t="shared" si="3"/>
        <v/>
      </c>
      <c r="G264" s="15" t="str">
        <f>IF(F264=F263, "", SUMIFS( '2024'!C:C,F:F, F264))</f>
        <v/>
      </c>
      <c r="H264" s="3" t="str">
        <f>IF(F264=F263, "", SUMIFS( '2024'!U:U,F:F, F264))</f>
        <v/>
      </c>
    </row>
    <row r="265" spans="6:8">
      <c r="F265" s="16" t="str">
        <f t="shared" si="3"/>
        <v/>
      </c>
      <c r="G265" s="15" t="str">
        <f>IF(F265=F264, "", SUMIFS( '2024'!C:C,F:F, F265))</f>
        <v/>
      </c>
      <c r="H265" s="3" t="str">
        <f>IF(F265=F264, "", SUMIFS( '2024'!U:U,F:F, F265))</f>
        <v/>
      </c>
    </row>
    <row r="266" spans="6:8">
      <c r="F266" s="16" t="str">
        <f t="shared" si="3"/>
        <v/>
      </c>
      <c r="G266" s="15" t="str">
        <f>IF(F266=F265, "", SUMIFS( '2024'!C:C,F:F, F266))</f>
        <v/>
      </c>
      <c r="H266" s="3" t="str">
        <f>IF(F266=F265, "", SUMIFS( '2024'!U:U,F:F, F266))</f>
        <v/>
      </c>
    </row>
    <row r="267" spans="6:8">
      <c r="F267" s="16" t="str">
        <f t="shared" si="3"/>
        <v/>
      </c>
      <c r="G267" s="15" t="str">
        <f>IF(F267=F266, "", SUMIFS( '2024'!C:C,F:F, F267))</f>
        <v/>
      </c>
      <c r="H267" s="3" t="str">
        <f>IF(F267=F266, "", SUMIFS( '2024'!U:U,F:F, F267))</f>
        <v/>
      </c>
    </row>
    <row r="268" spans="6:8">
      <c r="F268" s="16" t="str">
        <f t="shared" si="3"/>
        <v/>
      </c>
      <c r="G268" s="15" t="str">
        <f>IF(F268=F267, "", SUMIFS( '2024'!C:C,F:F, F268))</f>
        <v/>
      </c>
      <c r="H268" s="3" t="str">
        <f>IF(F268=F267, "", SUMIFS( '2024'!U:U,F:F, F268))</f>
        <v/>
      </c>
    </row>
    <row r="269" spans="6:8">
      <c r="F269" s="16" t="str">
        <f t="shared" si="3"/>
        <v/>
      </c>
      <c r="G269" s="15" t="str">
        <f>IF(F269=F268, "", SUMIFS( '2024'!C:C,F:F, F269))</f>
        <v/>
      </c>
      <c r="H269" s="3" t="str">
        <f>IF(F269=F268, "", SUMIFS( '2024'!U:U,F:F, F269))</f>
        <v/>
      </c>
    </row>
    <row r="270" spans="6:8">
      <c r="F270" s="16" t="str">
        <f t="shared" si="3"/>
        <v/>
      </c>
      <c r="G270" s="15" t="str">
        <f>IF(F270=F269, "", SUMIFS( '2024'!C:C,F:F, F270))</f>
        <v/>
      </c>
      <c r="H270" s="3" t="str">
        <f>IF(F270=F269, "", SUMIFS( '2024'!U:U,F:F, F270))</f>
        <v/>
      </c>
    </row>
    <row r="271" spans="6:8">
      <c r="F271" s="16" t="str">
        <f t="shared" si="3"/>
        <v/>
      </c>
      <c r="G271" s="15" t="str">
        <f>IF(F271=F270, "", SUMIFS( '2024'!C:C,F:F, F271))</f>
        <v/>
      </c>
      <c r="H271" s="3" t="str">
        <f>IF(F271=F270, "", SUMIFS( '2024'!U:U,F:F, F271))</f>
        <v/>
      </c>
    </row>
    <row r="272" spans="6:8">
      <c r="F272" s="16" t="str">
        <f t="shared" si="3"/>
        <v/>
      </c>
      <c r="G272" s="15" t="str">
        <f>IF(F272=F271, "", SUMIFS( '2024'!C:C,F:F, F272))</f>
        <v/>
      </c>
      <c r="H272" s="3" t="str">
        <f>IF(F272=F271, "", SUMIFS( '2024'!U:U,F:F, F272))</f>
        <v/>
      </c>
    </row>
    <row r="273" spans="6:8">
      <c r="F273" s="16" t="str">
        <f t="shared" si="3"/>
        <v/>
      </c>
      <c r="G273" s="15" t="str">
        <f>IF(F273=F272, "", SUMIFS( '2024'!C:C,F:F, F273))</f>
        <v/>
      </c>
      <c r="H273" s="3" t="str">
        <f>IF(F273=F272, "", SUMIFS( '2024'!U:U,F:F, F273))</f>
        <v/>
      </c>
    </row>
    <row r="274" spans="6:8">
      <c r="F274" s="16" t="str">
        <f t="shared" si="3"/>
        <v/>
      </c>
      <c r="G274" s="15" t="str">
        <f>IF(F274=F273, "", SUMIFS( '2024'!C:C,F:F, F274))</f>
        <v/>
      </c>
      <c r="H274" s="3" t="str">
        <f>IF(F274=F273, "", SUMIFS( '2024'!U:U,F:F, F274))</f>
        <v/>
      </c>
    </row>
    <row r="275" spans="6:8">
      <c r="F275" s="16" t="str">
        <f t="shared" si="3"/>
        <v/>
      </c>
      <c r="G275" s="15" t="str">
        <f>IF(F275=F274, "", SUMIFS( '2024'!C:C,F:F, F275))</f>
        <v/>
      </c>
      <c r="H275" s="3" t="str">
        <f>IF(F275=F274, "", SUMIFS( '2024'!U:U,F:F, F275))</f>
        <v/>
      </c>
    </row>
    <row r="276" spans="6:8">
      <c r="F276" s="16" t="str">
        <f t="shared" si="3"/>
        <v/>
      </c>
      <c r="G276" s="15" t="str">
        <f>IF(F276=F275, "", SUMIFS( '2024'!C:C,F:F, F276))</f>
        <v/>
      </c>
      <c r="H276" s="3" t="str">
        <f>IF(F276=F275, "", SUMIFS( '2024'!U:U,F:F, F276))</f>
        <v/>
      </c>
    </row>
    <row r="277" spans="6:8">
      <c r="F277" s="16" t="str">
        <f t="shared" si="3"/>
        <v/>
      </c>
      <c r="G277" s="15" t="str">
        <f>IF(F277=F276, "", SUMIFS( '2024'!C:C,F:F, F277))</f>
        <v/>
      </c>
      <c r="H277" s="3" t="str">
        <f>IF(F277=F276, "", SUMIFS( '2024'!U:U,F:F, F277))</f>
        <v/>
      </c>
    </row>
    <row r="278" spans="6:8">
      <c r="F278" s="16" t="str">
        <f t="shared" si="3"/>
        <v/>
      </c>
      <c r="G278" s="15" t="str">
        <f>IF(F278=F277, "", SUMIFS( '2024'!C:C,F:F, F278))</f>
        <v/>
      </c>
      <c r="H278" s="3" t="str">
        <f>IF(F278=F277, "", SUMIFS( '2024'!U:U,F:F, F278))</f>
        <v/>
      </c>
    </row>
    <row r="279" spans="6:8">
      <c r="F279" s="16" t="str">
        <f t="shared" si="3"/>
        <v/>
      </c>
      <c r="G279" s="15" t="str">
        <f>IF(F279=F278, "", SUMIFS( '2024'!C:C,F:F, F279))</f>
        <v/>
      </c>
      <c r="H279" s="3" t="str">
        <f>IF(F279=F278, "", SUMIFS( '2024'!U:U,F:F, F279))</f>
        <v/>
      </c>
    </row>
    <row r="280" spans="6:8">
      <c r="F280" s="16" t="str">
        <f t="shared" si="3"/>
        <v/>
      </c>
      <c r="G280" s="15" t="str">
        <f>IF(F280=F279, "", SUMIFS( '2024'!C:C,F:F, F280))</f>
        <v/>
      </c>
      <c r="H280" s="3" t="str">
        <f>IF(F280=F279, "", SUMIFS( '2024'!U:U,F:F, F280))</f>
        <v/>
      </c>
    </row>
    <row r="281" spans="6:8">
      <c r="F281" s="16" t="str">
        <f t="shared" si="3"/>
        <v/>
      </c>
      <c r="G281" s="15" t="str">
        <f>IF(F281=F280, "", SUMIFS( '2024'!C:C,F:F, F281))</f>
        <v/>
      </c>
      <c r="H281" s="3" t="str">
        <f>IF(F281=F280, "", SUMIFS( '2024'!U:U,F:F, F281))</f>
        <v/>
      </c>
    </row>
    <row r="282" spans="6:8">
      <c r="F282" s="16" t="str">
        <f t="shared" ref="F282:F345" si="4">IF(ISNUMBER(A282), A282 - WEEKDAY(A282, 2) + 1, F281)</f>
        <v/>
      </c>
      <c r="G282" s="15" t="str">
        <f>IF(F282=F281, "", SUMIFS( '2024'!C:C,F:F, F282))</f>
        <v/>
      </c>
      <c r="H282" s="3" t="str">
        <f>IF(F282=F281, "", SUMIFS( '2024'!U:U,F:F, F282))</f>
        <v/>
      </c>
    </row>
    <row r="283" spans="6:8">
      <c r="F283" s="16" t="str">
        <f t="shared" si="4"/>
        <v/>
      </c>
      <c r="G283" s="15" t="str">
        <f>IF(F283=F282, "", SUMIFS( '2024'!C:C,F:F, F283))</f>
        <v/>
      </c>
      <c r="H283" s="3" t="str">
        <f>IF(F283=F282, "", SUMIFS( '2024'!U:U,F:F, F283))</f>
        <v/>
      </c>
    </row>
    <row r="284" spans="6:8">
      <c r="F284" s="16" t="str">
        <f t="shared" si="4"/>
        <v/>
      </c>
      <c r="G284" s="15" t="str">
        <f>IF(F284=F283, "", SUMIFS( '2024'!C:C,F:F, F284))</f>
        <v/>
      </c>
      <c r="H284" s="3" t="str">
        <f>IF(F284=F283, "", SUMIFS( '2024'!U:U,F:F, F284))</f>
        <v/>
      </c>
    </row>
    <row r="285" spans="6:8">
      <c r="F285" s="16" t="str">
        <f t="shared" si="4"/>
        <v/>
      </c>
      <c r="G285" s="15" t="str">
        <f>IF(F285=F284, "", SUMIFS( '2024'!C:C,F:F, F285))</f>
        <v/>
      </c>
      <c r="H285" s="3" t="str">
        <f>IF(F285=F284, "", SUMIFS( '2024'!U:U,F:F, F285))</f>
        <v/>
      </c>
    </row>
    <row r="286" spans="6:8">
      <c r="F286" s="16" t="str">
        <f t="shared" si="4"/>
        <v/>
      </c>
      <c r="G286" s="15" t="str">
        <f>IF(F286=F285, "", SUMIFS( '2024'!C:C,F:F, F286))</f>
        <v/>
      </c>
      <c r="H286" s="3" t="str">
        <f>IF(F286=F285, "", SUMIFS( '2024'!U:U,F:F, F286))</f>
        <v/>
      </c>
    </row>
    <row r="287" spans="6:8">
      <c r="F287" s="16" t="str">
        <f t="shared" si="4"/>
        <v/>
      </c>
      <c r="G287" s="15" t="str">
        <f>IF(F287=F286, "", SUMIFS( '2024'!C:C,F:F, F287))</f>
        <v/>
      </c>
      <c r="H287" s="3" t="str">
        <f>IF(F287=F286, "", SUMIFS( '2024'!U:U,F:F, F287))</f>
        <v/>
      </c>
    </row>
    <row r="288" spans="6:8">
      <c r="F288" s="16" t="str">
        <f t="shared" si="4"/>
        <v/>
      </c>
      <c r="G288" s="15" t="str">
        <f>IF(F288=F287, "", SUMIFS( '2024'!C:C,F:F, F288))</f>
        <v/>
      </c>
      <c r="H288" s="3" t="str">
        <f>IF(F288=F287, "", SUMIFS( '2024'!U:U,F:F, F288))</f>
        <v/>
      </c>
    </row>
    <row r="289" spans="6:8">
      <c r="F289" s="16" t="str">
        <f t="shared" si="4"/>
        <v/>
      </c>
      <c r="G289" s="15" t="str">
        <f>IF(F289=F288, "", SUMIFS( '2024'!C:C,F:F, F289))</f>
        <v/>
      </c>
      <c r="H289" s="3" t="str">
        <f>IF(F289=F288, "", SUMIFS( '2024'!U:U,F:F, F289))</f>
        <v/>
      </c>
    </row>
    <row r="290" spans="6:8">
      <c r="F290" s="16" t="str">
        <f t="shared" si="4"/>
        <v/>
      </c>
      <c r="G290" s="15" t="str">
        <f>IF(F290=F289, "", SUMIFS( '2024'!C:C,F:F, F290))</f>
        <v/>
      </c>
      <c r="H290" s="3" t="str">
        <f>IF(F290=F289, "", SUMIFS( '2024'!U:U,F:F, F290))</f>
        <v/>
      </c>
    </row>
    <row r="291" spans="6:8">
      <c r="F291" s="16" t="str">
        <f t="shared" si="4"/>
        <v/>
      </c>
      <c r="G291" s="15" t="str">
        <f>IF(F291=F290, "", SUMIFS( '2024'!C:C,F:F, F291))</f>
        <v/>
      </c>
      <c r="H291" s="3" t="str">
        <f>IF(F291=F290, "", SUMIFS( '2024'!U:U,F:F, F291))</f>
        <v/>
      </c>
    </row>
    <row r="292" spans="6:8">
      <c r="F292" s="16" t="str">
        <f t="shared" si="4"/>
        <v/>
      </c>
      <c r="G292" s="15" t="str">
        <f>IF(F292=F291, "", SUMIFS( '2024'!C:C,F:F, F292))</f>
        <v/>
      </c>
      <c r="H292" s="3" t="str">
        <f>IF(F292=F291, "", SUMIFS( '2024'!U:U,F:F, F292))</f>
        <v/>
      </c>
    </row>
    <row r="293" spans="6:8">
      <c r="F293" s="16" t="str">
        <f t="shared" si="4"/>
        <v/>
      </c>
      <c r="G293" s="15" t="str">
        <f>IF(F293=F292, "", SUMIFS( '2024'!C:C,F:F, F293))</f>
        <v/>
      </c>
      <c r="H293" s="3" t="str">
        <f>IF(F293=F292, "", SUMIFS( '2024'!U:U,F:F, F293))</f>
        <v/>
      </c>
    </row>
    <row r="294" spans="6:8">
      <c r="F294" s="16" t="str">
        <f t="shared" si="4"/>
        <v/>
      </c>
      <c r="G294" s="15" t="str">
        <f>IF(F294=F293, "", SUMIFS( '2024'!C:C,F:F, F294))</f>
        <v/>
      </c>
      <c r="H294" s="3" t="str">
        <f>IF(F294=F293, "", SUMIFS( '2024'!U:U,F:F, F294))</f>
        <v/>
      </c>
    </row>
    <row r="295" spans="6:8">
      <c r="F295" s="16" t="str">
        <f t="shared" si="4"/>
        <v/>
      </c>
      <c r="G295" s="15" t="str">
        <f>IF(F295=F294, "", SUMIFS( '2024'!C:C,F:F, F295))</f>
        <v/>
      </c>
      <c r="H295" s="3" t="str">
        <f>IF(F295=F294, "", SUMIFS( '2024'!U:U,F:F, F295))</f>
        <v/>
      </c>
    </row>
    <row r="296" spans="6:8">
      <c r="F296" s="16" t="str">
        <f t="shared" si="4"/>
        <v/>
      </c>
      <c r="G296" s="15" t="str">
        <f>IF(F296=F295, "", SUMIFS( '2024'!C:C,F:F, F296))</f>
        <v/>
      </c>
      <c r="H296" s="3" t="str">
        <f>IF(F296=F295, "", SUMIFS( '2024'!U:U,F:F, F296))</f>
        <v/>
      </c>
    </row>
    <row r="297" spans="6:8">
      <c r="F297" s="16" t="str">
        <f t="shared" si="4"/>
        <v/>
      </c>
      <c r="G297" s="15" t="str">
        <f>IF(F297=F296, "", SUMIFS( '2024'!C:C,F:F, F297))</f>
        <v/>
      </c>
      <c r="H297" s="3" t="str">
        <f>IF(F297=F296, "", SUMIFS( '2024'!U:U,F:F, F297))</f>
        <v/>
      </c>
    </row>
    <row r="298" spans="6:8">
      <c r="F298" s="16" t="str">
        <f t="shared" si="4"/>
        <v/>
      </c>
      <c r="G298" s="15" t="str">
        <f>IF(F298=F297, "", SUMIFS( '2024'!C:C,F:F, F298))</f>
        <v/>
      </c>
      <c r="H298" s="3" t="str">
        <f>IF(F298=F297, "", SUMIFS( '2024'!U:U,F:F, F298))</f>
        <v/>
      </c>
    </row>
    <row r="299" spans="6:8">
      <c r="F299" s="16" t="str">
        <f t="shared" si="4"/>
        <v/>
      </c>
      <c r="G299" s="15" t="str">
        <f>IF(F299=F298, "", SUMIFS( '2024'!C:C,F:F, F299))</f>
        <v/>
      </c>
      <c r="H299" s="3" t="str">
        <f>IF(F299=F298, "", SUMIFS( '2024'!U:U,F:F, F299))</f>
        <v/>
      </c>
    </row>
    <row r="300" spans="6:8">
      <c r="F300" s="16" t="str">
        <f t="shared" si="4"/>
        <v/>
      </c>
      <c r="G300" s="15" t="str">
        <f>IF(F300=F299, "", SUMIFS( '2024'!C:C,F:F, F300))</f>
        <v/>
      </c>
      <c r="H300" s="3" t="str">
        <f>IF(F300=F299, "", SUMIFS( '2024'!U:U,F:F, F300))</f>
        <v/>
      </c>
    </row>
    <row r="301" spans="6:8">
      <c r="F301" s="16" t="str">
        <f t="shared" si="4"/>
        <v/>
      </c>
      <c r="G301" s="15" t="str">
        <f>IF(F301=F300, "", SUMIFS( '2024'!C:C,F:F, F301))</f>
        <v/>
      </c>
      <c r="H301" s="3" t="str">
        <f>IF(F301=F300, "", SUMIFS( '2024'!U:U,F:F, F301))</f>
        <v/>
      </c>
    </row>
    <row r="302" spans="6:8">
      <c r="F302" s="16" t="str">
        <f t="shared" si="4"/>
        <v/>
      </c>
      <c r="G302" s="15" t="str">
        <f>IF(F302=F301, "", SUMIFS( '2024'!C:C,F:F, F302))</f>
        <v/>
      </c>
      <c r="H302" s="3" t="str">
        <f>IF(F302=F301, "", SUMIFS( '2024'!U:U,F:F, F302))</f>
        <v/>
      </c>
    </row>
    <row r="303" spans="6:8">
      <c r="F303" s="16" t="str">
        <f t="shared" si="4"/>
        <v/>
      </c>
      <c r="G303" s="15" t="str">
        <f>IF(F303=F302, "", SUMIFS( '2024'!C:C,F:F, F303))</f>
        <v/>
      </c>
      <c r="H303" s="3" t="str">
        <f>IF(F303=F302, "", SUMIFS( '2024'!U:U,F:F, F303))</f>
        <v/>
      </c>
    </row>
    <row r="304" spans="6:8">
      <c r="F304" s="16" t="str">
        <f t="shared" si="4"/>
        <v/>
      </c>
      <c r="G304" s="15" t="str">
        <f>IF(F304=F303, "", SUMIFS( '2024'!C:C,F:F, F304))</f>
        <v/>
      </c>
      <c r="H304" s="3" t="str">
        <f>IF(F304=F303, "", SUMIFS( '2024'!U:U,F:F, F304))</f>
        <v/>
      </c>
    </row>
    <row r="305" spans="6:8">
      <c r="F305" s="16" t="str">
        <f t="shared" si="4"/>
        <v/>
      </c>
      <c r="G305" s="15" t="str">
        <f>IF(F305=F304, "", SUMIFS( '2024'!C:C,F:F, F305))</f>
        <v/>
      </c>
      <c r="H305" s="3" t="str">
        <f>IF(F305=F304, "", SUMIFS( '2024'!U:U,F:F, F305))</f>
        <v/>
      </c>
    </row>
    <row r="306" spans="6:8">
      <c r="F306" s="16" t="str">
        <f t="shared" si="4"/>
        <v/>
      </c>
      <c r="G306" s="15" t="str">
        <f>IF(F306=F305, "", SUMIFS( '2024'!C:C,F:F, F306))</f>
        <v/>
      </c>
      <c r="H306" s="3" t="str">
        <f>IF(F306=F305, "", SUMIFS( '2024'!U:U,F:F, F306))</f>
        <v/>
      </c>
    </row>
    <row r="307" spans="6:8">
      <c r="F307" s="16" t="str">
        <f t="shared" si="4"/>
        <v/>
      </c>
      <c r="G307" s="15" t="str">
        <f>IF(F307=F306, "", SUMIFS( '2024'!C:C,F:F, F307))</f>
        <v/>
      </c>
      <c r="H307" s="3" t="str">
        <f>IF(F307=F306, "", SUMIFS( '2024'!U:U,F:F, F307))</f>
        <v/>
      </c>
    </row>
    <row r="308" spans="6:8">
      <c r="F308" s="16" t="str">
        <f t="shared" si="4"/>
        <v/>
      </c>
      <c r="G308" s="15" t="str">
        <f>IF(F308=F307, "", SUMIFS( '2024'!C:C,F:F, F308))</f>
        <v/>
      </c>
      <c r="H308" s="3" t="str">
        <f>IF(F308=F307, "", SUMIFS( '2024'!U:U,F:F, F308))</f>
        <v/>
      </c>
    </row>
    <row r="309" spans="6:8">
      <c r="F309" s="16" t="str">
        <f t="shared" si="4"/>
        <v/>
      </c>
      <c r="G309" s="15" t="str">
        <f>IF(F309=F308, "", SUMIFS( '2024'!C:C,F:F, F309))</f>
        <v/>
      </c>
      <c r="H309" s="3" t="str">
        <f>IF(F309=F308, "", SUMIFS( '2024'!U:U,F:F, F309))</f>
        <v/>
      </c>
    </row>
    <row r="310" spans="6:8">
      <c r="F310" s="16" t="str">
        <f t="shared" si="4"/>
        <v/>
      </c>
      <c r="G310" s="15" t="str">
        <f>IF(F310=F309, "", SUMIFS( '2024'!C:C,F:F, F310))</f>
        <v/>
      </c>
      <c r="H310" s="3" t="str">
        <f>IF(F310=F309, "", SUMIFS( '2024'!U:U,F:F, F310))</f>
        <v/>
      </c>
    </row>
    <row r="311" spans="6:8">
      <c r="F311" s="16" t="str">
        <f t="shared" si="4"/>
        <v/>
      </c>
      <c r="G311" s="15" t="str">
        <f>IF(F311=F310, "", SUMIFS( '2024'!C:C,F:F, F311))</f>
        <v/>
      </c>
      <c r="H311" s="3" t="str">
        <f>IF(F311=F310, "", SUMIFS( '2024'!U:U,F:F, F311))</f>
        <v/>
      </c>
    </row>
    <row r="312" spans="6:8">
      <c r="F312" s="16" t="str">
        <f t="shared" si="4"/>
        <v/>
      </c>
      <c r="G312" s="15" t="str">
        <f>IF(F312=F311, "", SUMIFS( '2024'!C:C,F:F, F312))</f>
        <v/>
      </c>
      <c r="H312" s="3" t="str">
        <f>IF(F312=F311, "", SUMIFS( '2024'!U:U,F:F, F312))</f>
        <v/>
      </c>
    </row>
    <row r="313" spans="6:8">
      <c r="F313" s="16" t="str">
        <f t="shared" si="4"/>
        <v/>
      </c>
      <c r="G313" s="15" t="str">
        <f>IF(F313=F312, "", SUMIFS( '2024'!C:C,F:F, F313))</f>
        <v/>
      </c>
      <c r="H313" s="3" t="str">
        <f>IF(F313=F312, "", SUMIFS( '2024'!U:U,F:F, F313))</f>
        <v/>
      </c>
    </row>
    <row r="314" spans="6:8">
      <c r="F314" s="16" t="str">
        <f t="shared" si="4"/>
        <v/>
      </c>
      <c r="G314" s="15" t="str">
        <f>IF(F314=F313, "", SUMIFS( '2024'!C:C,F:F, F314))</f>
        <v/>
      </c>
      <c r="H314" s="3" t="str">
        <f>IF(F314=F313, "", SUMIFS( '2024'!U:U,F:F, F314))</f>
        <v/>
      </c>
    </row>
    <row r="315" spans="6:8">
      <c r="F315" s="16" t="str">
        <f t="shared" si="4"/>
        <v/>
      </c>
      <c r="G315" s="15" t="str">
        <f>IF(F315=F314, "", SUMIFS( '2024'!C:C,F:F, F315))</f>
        <v/>
      </c>
      <c r="H315" s="3" t="str">
        <f>IF(F315=F314, "", SUMIFS( '2024'!U:U,F:F, F315))</f>
        <v/>
      </c>
    </row>
    <row r="316" spans="6:8">
      <c r="F316" s="16" t="str">
        <f t="shared" si="4"/>
        <v/>
      </c>
      <c r="G316" s="15" t="str">
        <f>IF(F316=F315, "", SUMIFS( '2024'!C:C,F:F, F316))</f>
        <v/>
      </c>
      <c r="H316" s="3" t="str">
        <f>IF(F316=F315, "", SUMIFS( '2024'!U:U,F:F, F316))</f>
        <v/>
      </c>
    </row>
    <row r="317" spans="6:8">
      <c r="F317" s="16" t="str">
        <f t="shared" si="4"/>
        <v/>
      </c>
      <c r="G317" s="15" t="str">
        <f>IF(F317=F316, "", SUMIFS( '2024'!C:C,F:F, F317))</f>
        <v/>
      </c>
      <c r="H317" s="3" t="str">
        <f>IF(F317=F316, "", SUMIFS( '2024'!U:U,F:F, F317))</f>
        <v/>
      </c>
    </row>
    <row r="318" spans="6:8">
      <c r="F318" s="16" t="str">
        <f t="shared" si="4"/>
        <v/>
      </c>
      <c r="G318" s="15" t="str">
        <f>IF(F318=F317, "", SUMIFS( '2024'!C:C,F:F, F318))</f>
        <v/>
      </c>
      <c r="H318" s="3" t="str">
        <f>IF(F318=F317, "", SUMIFS( '2024'!U:U,F:F, F318))</f>
        <v/>
      </c>
    </row>
    <row r="319" spans="6:8">
      <c r="F319" s="16" t="str">
        <f t="shared" si="4"/>
        <v/>
      </c>
      <c r="G319" s="15" t="str">
        <f>IF(F319=F318, "", SUMIFS( '2024'!C:C,F:F, F319))</f>
        <v/>
      </c>
      <c r="H319" s="3" t="str">
        <f>IF(F319=F318, "", SUMIFS( '2024'!U:U,F:F, F319))</f>
        <v/>
      </c>
    </row>
    <row r="320" spans="6:8">
      <c r="F320" s="16" t="str">
        <f t="shared" si="4"/>
        <v/>
      </c>
      <c r="G320" s="15" t="str">
        <f>IF(F320=F319, "", SUMIFS( '2024'!C:C,F:F, F320))</f>
        <v/>
      </c>
      <c r="H320" s="3" t="str">
        <f>IF(F320=F319, "", SUMIFS( '2024'!U:U,F:F, F320))</f>
        <v/>
      </c>
    </row>
    <row r="321" spans="6:8">
      <c r="F321" s="16" t="str">
        <f t="shared" si="4"/>
        <v/>
      </c>
      <c r="G321" s="15" t="str">
        <f>IF(F321=F320, "", SUMIFS( '2024'!C:C,F:F, F321))</f>
        <v/>
      </c>
      <c r="H321" s="3" t="str">
        <f>IF(F321=F320, "", SUMIFS( '2024'!U:U,F:F, F321))</f>
        <v/>
      </c>
    </row>
    <row r="322" spans="6:8">
      <c r="F322" s="16" t="str">
        <f t="shared" si="4"/>
        <v/>
      </c>
      <c r="G322" s="15" t="str">
        <f>IF(F322=F321, "", SUMIFS( '2024'!C:C,F:F, F322))</f>
        <v/>
      </c>
      <c r="H322" s="3" t="str">
        <f>IF(F322=F321, "", SUMIFS( '2024'!U:U,F:F, F322))</f>
        <v/>
      </c>
    </row>
    <row r="323" spans="6:8">
      <c r="F323" s="16" t="str">
        <f t="shared" si="4"/>
        <v/>
      </c>
      <c r="G323" s="15" t="str">
        <f>IF(F323=F322, "", SUMIFS( '2024'!C:C,F:F, F323))</f>
        <v/>
      </c>
      <c r="H323" s="3" t="str">
        <f>IF(F323=F322, "", SUMIFS( '2024'!U:U,F:F, F323))</f>
        <v/>
      </c>
    </row>
    <row r="324" spans="6:8">
      <c r="F324" s="16" t="str">
        <f t="shared" si="4"/>
        <v/>
      </c>
      <c r="G324" s="15" t="str">
        <f>IF(F324=F323, "", SUMIFS( '2024'!C:C,F:F, F324))</f>
        <v/>
      </c>
      <c r="H324" s="3" t="str">
        <f>IF(F324=F323, "", SUMIFS( '2024'!U:U,F:F, F324))</f>
        <v/>
      </c>
    </row>
    <row r="325" spans="6:8">
      <c r="F325" s="16" t="str">
        <f t="shared" si="4"/>
        <v/>
      </c>
      <c r="G325" s="15" t="str">
        <f>IF(F325=F324, "", SUMIFS( '2024'!C:C,F:F, F325))</f>
        <v/>
      </c>
      <c r="H325" s="3" t="str">
        <f>IF(F325=F324, "", SUMIFS( '2024'!U:U,F:F, F325))</f>
        <v/>
      </c>
    </row>
    <row r="326" spans="6:8">
      <c r="F326" s="16" t="str">
        <f t="shared" si="4"/>
        <v/>
      </c>
      <c r="G326" s="15" t="str">
        <f>IF(F326=F325, "", SUMIFS( '2024'!C:C,F:F, F326))</f>
        <v/>
      </c>
      <c r="H326" s="3" t="str">
        <f>IF(F326=F325, "", SUMIFS( '2024'!U:U,F:F, F326))</f>
        <v/>
      </c>
    </row>
    <row r="327" spans="6:8">
      <c r="F327" s="16" t="str">
        <f t="shared" si="4"/>
        <v/>
      </c>
      <c r="G327" s="15" t="str">
        <f>IF(F327=F326, "", SUMIFS( '2024'!C:C,F:F, F327))</f>
        <v/>
      </c>
      <c r="H327" s="3" t="str">
        <f>IF(F327=F326, "", SUMIFS( '2024'!U:U,F:F, F327))</f>
        <v/>
      </c>
    </row>
    <row r="328" spans="6:8">
      <c r="F328" s="16" t="str">
        <f t="shared" si="4"/>
        <v/>
      </c>
      <c r="G328" s="15" t="str">
        <f>IF(F328=F327, "", SUMIFS( '2024'!C:C,F:F, F328))</f>
        <v/>
      </c>
      <c r="H328" s="3" t="str">
        <f>IF(F328=F327, "", SUMIFS( '2024'!U:U,F:F, F328))</f>
        <v/>
      </c>
    </row>
    <row r="329" spans="6:8">
      <c r="F329" s="16" t="str">
        <f t="shared" si="4"/>
        <v/>
      </c>
      <c r="G329" s="15" t="str">
        <f>IF(F329=F328, "", SUMIFS( '2024'!C:C,F:F, F329))</f>
        <v/>
      </c>
      <c r="H329" s="3" t="str">
        <f>IF(F329=F328, "", SUMIFS( '2024'!U:U,F:F, F329))</f>
        <v/>
      </c>
    </row>
    <row r="330" spans="6:8">
      <c r="F330" s="16" t="str">
        <f t="shared" si="4"/>
        <v/>
      </c>
      <c r="G330" s="15" t="str">
        <f>IF(F330=F329, "", SUMIFS( '2024'!C:C,F:F, F330))</f>
        <v/>
      </c>
      <c r="H330" s="3" t="str">
        <f>IF(F330=F329, "", SUMIFS( '2024'!U:U,F:F, F330))</f>
        <v/>
      </c>
    </row>
    <row r="331" spans="6:8">
      <c r="F331" s="16" t="str">
        <f t="shared" si="4"/>
        <v/>
      </c>
      <c r="G331" s="15" t="str">
        <f>IF(F331=F330, "", SUMIFS( '2024'!C:C,F:F, F331))</f>
        <v/>
      </c>
      <c r="H331" s="3" t="str">
        <f>IF(F331=F330, "", SUMIFS( '2024'!U:U,F:F, F331))</f>
        <v/>
      </c>
    </row>
    <row r="332" spans="6:8">
      <c r="F332" s="16" t="str">
        <f t="shared" si="4"/>
        <v/>
      </c>
      <c r="G332" s="15" t="str">
        <f>IF(F332=F331, "", SUMIFS( '2024'!C:C,F:F, F332))</f>
        <v/>
      </c>
      <c r="H332" s="3" t="str">
        <f>IF(F332=F331, "", SUMIFS( '2024'!U:U,F:F, F332))</f>
        <v/>
      </c>
    </row>
    <row r="333" spans="6:8">
      <c r="F333" s="16" t="str">
        <f t="shared" si="4"/>
        <v/>
      </c>
      <c r="G333" s="15" t="str">
        <f>IF(F333=F332, "", SUMIFS( '2024'!C:C,F:F, F333))</f>
        <v/>
      </c>
      <c r="H333" s="3" t="str">
        <f>IF(F333=F332, "", SUMIFS( '2024'!U:U,F:F, F333))</f>
        <v/>
      </c>
    </row>
    <row r="334" spans="6:8">
      <c r="F334" s="16" t="str">
        <f t="shared" si="4"/>
        <v/>
      </c>
      <c r="G334" s="15" t="str">
        <f>IF(F334=F333, "", SUMIFS( '2024'!C:C,F:F, F334))</f>
        <v/>
      </c>
      <c r="H334" s="3" t="str">
        <f>IF(F334=F333, "", SUMIFS( '2024'!U:U,F:F, F334))</f>
        <v/>
      </c>
    </row>
    <row r="335" spans="6:8">
      <c r="F335" s="16" t="str">
        <f t="shared" si="4"/>
        <v/>
      </c>
      <c r="G335" s="15" t="str">
        <f>IF(F335=F334, "", SUMIFS( '2024'!C:C,F:F, F335))</f>
        <v/>
      </c>
      <c r="H335" s="3" t="str">
        <f>IF(F335=F334, "", SUMIFS( '2024'!U:U,F:F, F335))</f>
        <v/>
      </c>
    </row>
    <row r="336" spans="6:8">
      <c r="F336" s="16" t="str">
        <f t="shared" si="4"/>
        <v/>
      </c>
      <c r="G336" s="15" t="str">
        <f>IF(F336=F335, "", SUMIFS( '2024'!C:C,F:F, F336))</f>
        <v/>
      </c>
      <c r="H336" s="3" t="str">
        <f>IF(F336=F335, "", SUMIFS( '2024'!U:U,F:F, F336))</f>
        <v/>
      </c>
    </row>
    <row r="337" spans="6:8">
      <c r="F337" s="16" t="str">
        <f t="shared" si="4"/>
        <v/>
      </c>
      <c r="G337" s="15" t="str">
        <f>IF(F337=F336, "", SUMIFS( '2024'!C:C,F:F, F337))</f>
        <v/>
      </c>
      <c r="H337" s="3" t="str">
        <f>IF(F337=F336, "", SUMIFS( '2024'!U:U,F:F, F337))</f>
        <v/>
      </c>
    </row>
    <row r="338" spans="6:8">
      <c r="F338" s="16" t="str">
        <f t="shared" si="4"/>
        <v/>
      </c>
      <c r="G338" s="15" t="str">
        <f>IF(F338=F337, "", SUMIFS( '2024'!C:C,F:F, F338))</f>
        <v/>
      </c>
      <c r="H338" s="3" t="str">
        <f>IF(F338=F337, "", SUMIFS( '2024'!U:U,F:F, F338))</f>
        <v/>
      </c>
    </row>
    <row r="339" spans="6:8">
      <c r="F339" s="16" t="str">
        <f t="shared" si="4"/>
        <v/>
      </c>
      <c r="G339" s="15" t="str">
        <f>IF(F339=F338, "", SUMIFS( '2024'!C:C,F:F, F339))</f>
        <v/>
      </c>
      <c r="H339" s="3" t="str">
        <f>IF(F339=F338, "", SUMIFS( '2024'!U:U,F:F, F339))</f>
        <v/>
      </c>
    </row>
    <row r="340" spans="6:8">
      <c r="F340" s="16" t="str">
        <f t="shared" si="4"/>
        <v/>
      </c>
      <c r="G340" s="15" t="str">
        <f>IF(F340=F339, "", SUMIFS( '2024'!C:C,F:F, F340))</f>
        <v/>
      </c>
      <c r="H340" s="3" t="str">
        <f>IF(F340=F339, "", SUMIFS( '2024'!U:U,F:F, F340))</f>
        <v/>
      </c>
    </row>
    <row r="341" spans="6:8">
      <c r="F341" s="16" t="str">
        <f t="shared" si="4"/>
        <v/>
      </c>
      <c r="G341" s="15" t="str">
        <f>IF(F341=F340, "", SUMIFS( '2024'!C:C,F:F, F341))</f>
        <v/>
      </c>
      <c r="H341" s="3" t="str">
        <f>IF(F341=F340, "", SUMIFS( '2024'!U:U,F:F, F341))</f>
        <v/>
      </c>
    </row>
    <row r="342" spans="6:8">
      <c r="F342" s="16" t="str">
        <f t="shared" si="4"/>
        <v/>
      </c>
      <c r="G342" s="15" t="str">
        <f>IF(F342=F341, "", SUMIFS( '2024'!C:C,F:F, F342))</f>
        <v/>
      </c>
      <c r="H342" s="3" t="str">
        <f>IF(F342=F341, "", SUMIFS( '2024'!U:U,F:F, F342))</f>
        <v/>
      </c>
    </row>
    <row r="343" spans="6:8">
      <c r="F343" s="16" t="str">
        <f t="shared" si="4"/>
        <v/>
      </c>
      <c r="G343" s="15" t="str">
        <f>IF(F343=F342, "", SUMIFS( '2024'!C:C,F:F, F343))</f>
        <v/>
      </c>
      <c r="H343" s="3" t="str">
        <f>IF(F343=F342, "", SUMIFS( '2024'!U:U,F:F, F343))</f>
        <v/>
      </c>
    </row>
    <row r="344" spans="6:8">
      <c r="F344" s="16" t="str">
        <f t="shared" si="4"/>
        <v/>
      </c>
      <c r="G344" s="15" t="str">
        <f>IF(F344=F343, "", SUMIFS( '2024'!C:C,F:F, F344))</f>
        <v/>
      </c>
      <c r="H344" s="3" t="str">
        <f>IF(F344=F343, "", SUMIFS( '2024'!U:U,F:F, F344))</f>
        <v/>
      </c>
    </row>
    <row r="345" spans="6:8">
      <c r="F345" s="16" t="str">
        <f t="shared" si="4"/>
        <v/>
      </c>
      <c r="G345" s="15" t="str">
        <f>IF(F345=F344, "", SUMIFS( '2024'!C:C,F:F, F345))</f>
        <v/>
      </c>
      <c r="H345" s="3" t="str">
        <f>IF(F345=F344, "", SUMIFS( '2024'!U:U,F:F, F345))</f>
        <v/>
      </c>
    </row>
    <row r="346" spans="6:8">
      <c r="F346" s="16" t="str">
        <f t="shared" ref="F346:F368" si="5">IF(ISNUMBER(A346), A346 - WEEKDAY(A346, 2) + 1, F345)</f>
        <v/>
      </c>
      <c r="G346" s="15" t="str">
        <f>IF(F346=F345, "", SUMIFS( '2024'!C:C,F:F, F346))</f>
        <v/>
      </c>
      <c r="H346" s="3" t="str">
        <f>IF(F346=F345, "", SUMIFS( '2024'!U:U,F:F, F346))</f>
        <v/>
      </c>
    </row>
    <row r="347" spans="6:8">
      <c r="F347" s="16" t="str">
        <f t="shared" si="5"/>
        <v/>
      </c>
      <c r="G347" s="15" t="str">
        <f>IF(F347=F346, "", SUMIFS( '2024'!C:C,F:F, F347))</f>
        <v/>
      </c>
      <c r="H347" s="3" t="str">
        <f>IF(F347=F346, "", SUMIFS( '2024'!U:U,F:F, F347))</f>
        <v/>
      </c>
    </row>
    <row r="348" spans="6:8">
      <c r="F348" s="16" t="str">
        <f t="shared" si="5"/>
        <v/>
      </c>
      <c r="G348" s="15" t="str">
        <f>IF(F348=F347, "", SUMIFS( '2024'!C:C,F:F, F348))</f>
        <v/>
      </c>
      <c r="H348" s="3" t="str">
        <f>IF(F348=F347, "", SUMIFS( '2024'!U:U,F:F, F348))</f>
        <v/>
      </c>
    </row>
    <row r="349" spans="6:8">
      <c r="F349" s="16" t="str">
        <f t="shared" si="5"/>
        <v/>
      </c>
      <c r="G349" s="15" t="str">
        <f>IF(F349=F348, "", SUMIFS( '2024'!C:C,F:F, F349))</f>
        <v/>
      </c>
      <c r="H349" s="3" t="str">
        <f>IF(F349=F348, "", SUMIFS( '2024'!U:U,F:F, F349))</f>
        <v/>
      </c>
    </row>
    <row r="350" spans="6:8">
      <c r="F350" s="16" t="str">
        <f t="shared" si="5"/>
        <v/>
      </c>
      <c r="G350" s="15" t="str">
        <f>IF(F350=F349, "", SUMIFS( '2024'!C:C,F:F, F350))</f>
        <v/>
      </c>
      <c r="H350" s="3" t="str">
        <f>IF(F350=F349, "", SUMIFS( '2024'!U:U,F:F, F350))</f>
        <v/>
      </c>
    </row>
    <row r="351" spans="6:8">
      <c r="F351" s="16" t="str">
        <f t="shared" si="5"/>
        <v/>
      </c>
      <c r="G351" s="15" t="str">
        <f>IF(F351=F350, "", SUMIFS( '2024'!C:C,F:F, F351))</f>
        <v/>
      </c>
      <c r="H351" s="3" t="str">
        <f>IF(F351=F350, "", SUMIFS( '2024'!U:U,F:F, F351))</f>
        <v/>
      </c>
    </row>
    <row r="352" spans="6:8">
      <c r="F352" s="16" t="str">
        <f t="shared" si="5"/>
        <v/>
      </c>
      <c r="G352" s="15" t="str">
        <f>IF(F352=F351, "", SUMIFS( '2024'!C:C,F:F, F352))</f>
        <v/>
      </c>
      <c r="H352" s="3" t="str">
        <f>IF(F352=F351, "", SUMIFS( '2024'!U:U,F:F, F352))</f>
        <v/>
      </c>
    </row>
    <row r="353" spans="6:8">
      <c r="F353" s="16" t="str">
        <f t="shared" si="5"/>
        <v/>
      </c>
      <c r="G353" s="15" t="str">
        <f>IF(F353=F352, "", SUMIFS( '2024'!C:C,F:F, F353))</f>
        <v/>
      </c>
      <c r="H353" s="3" t="str">
        <f>IF(F353=F352, "", SUMIFS( '2024'!U:U,F:F, F353))</f>
        <v/>
      </c>
    </row>
    <row r="354" spans="6:8">
      <c r="F354" s="16" t="str">
        <f t="shared" si="5"/>
        <v/>
      </c>
      <c r="G354" s="15" t="str">
        <f>IF(F354=F353, "", SUMIFS( '2024'!C:C,F:F, F354))</f>
        <v/>
      </c>
      <c r="H354" s="3" t="str">
        <f>IF(F354=F353, "", SUMIFS( '2024'!U:U,F:F, F354))</f>
        <v/>
      </c>
    </row>
    <row r="355" spans="6:8">
      <c r="F355" s="16" t="str">
        <f t="shared" si="5"/>
        <v/>
      </c>
      <c r="G355" s="15" t="str">
        <f>IF(F355=F354, "", SUMIFS( '2024'!C:C,F:F, F355))</f>
        <v/>
      </c>
      <c r="H355" s="3" t="str">
        <f>IF(F355=F354, "", SUMIFS( '2024'!U:U,F:F, F355))</f>
        <v/>
      </c>
    </row>
    <row r="356" spans="6:8">
      <c r="F356" s="16" t="str">
        <f t="shared" si="5"/>
        <v/>
      </c>
      <c r="G356" s="15" t="str">
        <f>IF(F356=F355, "", SUMIFS( '2024'!C:C,F:F, F356))</f>
        <v/>
      </c>
      <c r="H356" s="3" t="str">
        <f>IF(F356=F355, "", SUMIFS( '2024'!U:U,F:F, F356))</f>
        <v/>
      </c>
    </row>
    <row r="357" spans="6:8">
      <c r="F357" s="16" t="str">
        <f t="shared" si="5"/>
        <v/>
      </c>
      <c r="G357" s="15" t="str">
        <f>IF(F357=F356, "", SUMIFS( '2024'!C:C,F:F, F357))</f>
        <v/>
      </c>
      <c r="H357" s="3" t="str">
        <f>IF(F357=F356, "", SUMIFS( '2024'!U:U,F:F, F357))</f>
        <v/>
      </c>
    </row>
    <row r="358" spans="6:8">
      <c r="F358" s="16" t="str">
        <f t="shared" si="5"/>
        <v/>
      </c>
      <c r="G358" s="15" t="str">
        <f>IF(F358=F357, "", SUMIFS( '2024'!C:C,F:F, F358))</f>
        <v/>
      </c>
      <c r="H358" s="3" t="str">
        <f>IF(F358=F357, "", SUMIFS( '2024'!U:U,F:F, F358))</f>
        <v/>
      </c>
    </row>
    <row r="359" spans="6:8">
      <c r="F359" s="16" t="str">
        <f t="shared" si="5"/>
        <v/>
      </c>
      <c r="G359" s="15" t="str">
        <f>IF(F359=F358, "", SUMIFS( '2024'!C:C,F:F, F359))</f>
        <v/>
      </c>
      <c r="H359" s="3" t="str">
        <f>IF(F359=F358, "", SUMIFS( '2024'!U:U,F:F, F359))</f>
        <v/>
      </c>
    </row>
    <row r="360" spans="6:8">
      <c r="F360" s="16" t="str">
        <f t="shared" si="5"/>
        <v/>
      </c>
      <c r="G360" s="15" t="str">
        <f>IF(F360=F359, "", SUMIFS( '2024'!C:C,F:F, F360))</f>
        <v/>
      </c>
      <c r="H360" s="3" t="str">
        <f>IF(F360=F359, "", SUMIFS( '2024'!U:U,F:F, F360))</f>
        <v/>
      </c>
    </row>
    <row r="361" spans="6:8">
      <c r="F361" s="16" t="str">
        <f t="shared" si="5"/>
        <v/>
      </c>
      <c r="G361" s="15" t="str">
        <f>IF(F361=F360, "", SUMIFS( '2024'!C:C,F:F, F361))</f>
        <v/>
      </c>
      <c r="H361" s="3" t="str">
        <f>IF(F361=F360, "", SUMIFS( '2024'!U:U,F:F, F361))</f>
        <v/>
      </c>
    </row>
    <row r="362" spans="6:8">
      <c r="F362" s="16" t="str">
        <f t="shared" si="5"/>
        <v/>
      </c>
      <c r="G362" s="15" t="str">
        <f>IF(F362=F361, "", SUMIFS( '2024'!C:C,F:F, F362))</f>
        <v/>
      </c>
      <c r="H362" s="3" t="str">
        <f>IF(F362=F361, "", SUMIFS( '2024'!U:U,F:F, F362))</f>
        <v/>
      </c>
    </row>
    <row r="363" spans="6:8">
      <c r="F363" s="16" t="str">
        <f t="shared" si="5"/>
        <v/>
      </c>
      <c r="G363" s="15" t="str">
        <f>IF(F363=F362, "", SUMIFS( '2024'!C:C,F:F, F363))</f>
        <v/>
      </c>
      <c r="H363" s="3" t="str">
        <f>IF(F363=F362, "", SUMIFS( '2024'!U:U,F:F, F363))</f>
        <v/>
      </c>
    </row>
    <row r="364" spans="6:8">
      <c r="F364" s="16" t="str">
        <f t="shared" si="5"/>
        <v/>
      </c>
      <c r="G364" s="15" t="str">
        <f>IF(F364=F363, "", SUMIFS( '2024'!C:C,F:F, F364))</f>
        <v/>
      </c>
      <c r="H364" s="3" t="str">
        <f>IF(F364=F363, "", SUMIFS( '2024'!U:U,F:F, F364))</f>
        <v/>
      </c>
    </row>
    <row r="365" spans="6:8">
      <c r="F365" s="16" t="str">
        <f t="shared" si="5"/>
        <v/>
      </c>
      <c r="G365" s="15" t="str">
        <f>IF(F365=F364, "", SUMIFS( '2024'!C:C,F:F, F365))</f>
        <v/>
      </c>
      <c r="H365" s="3" t="str">
        <f>IF(F365=F364, "", SUMIFS( '2024'!U:U,F:F, F365))</f>
        <v/>
      </c>
    </row>
    <row r="366" spans="6:8">
      <c r="F366" s="16" t="str">
        <f t="shared" si="5"/>
        <v/>
      </c>
      <c r="G366" s="15" t="str">
        <f>IF(F366=F365, "", SUMIFS( '2024'!C:C,F:F, F366))</f>
        <v/>
      </c>
      <c r="H366" s="3" t="str">
        <f>IF(F366=F365, "", SUMIFS( '2024'!U:U,F:F, F366))</f>
        <v/>
      </c>
    </row>
    <row r="367" spans="6:8">
      <c r="F367" s="16" t="str">
        <f t="shared" si="5"/>
        <v/>
      </c>
      <c r="G367" s="15" t="str">
        <f>IF(F367=F366, "", SUMIFS( '2024'!C:C,F:F, F367))</f>
        <v/>
      </c>
      <c r="H367" s="3" t="str">
        <f>IF(F367=F366, "", SUMIFS( '2024'!U:U,F:F, F367))</f>
        <v/>
      </c>
    </row>
    <row r="368" spans="6:8">
      <c r="F368" s="16" t="str">
        <f t="shared" si="5"/>
        <v/>
      </c>
      <c r="G368" s="15" t="str">
        <f>IF(F368=F367, "", SUMIFS( '2024'!C:C,F:F, F368))</f>
        <v/>
      </c>
      <c r="H368" s="3" t="str">
        <f>IF(F368=F367, "", SUMIFS( '2024'!U:U,F:F, F368))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97B4E90D-79D9-4394-A888-A0987FDB9AD3}">
  <ds:schemaRefs/>
</ds:datastoreItem>
</file>

<file path=customXml/itemProps2.xml><?xml version="1.0" encoding="utf-8"?>
<ds:datastoreItem xmlns:ds="http://schemas.openxmlformats.org/officeDocument/2006/customXml" ds:itemID="{16EDB255-A533-4277-9F95-0C78C965A200}">
  <ds:schemaRefs/>
</ds:datastoreItem>
</file>

<file path=customXml/itemProps3.xml><?xml version="1.0" encoding="utf-8"?>
<ds:datastoreItem xmlns:ds="http://schemas.openxmlformats.org/officeDocument/2006/customXml" ds:itemID="{04F108CF-B7E5-43AE-A69A-F40CA981F86C}">
  <ds:schemaRefs/>
</ds:datastoreItem>
</file>

<file path=customXml/itemProps4.xml><?xml version="1.0" encoding="utf-8"?>
<ds:datastoreItem xmlns:ds="http://schemas.openxmlformats.org/officeDocument/2006/customXml" ds:itemID="{A605E00D-7D62-4A37-AA1B-935C281E09A3}">
  <ds:schemaRefs/>
</ds:datastoreItem>
</file>

<file path=customXml/itemProps5.xml><?xml version="1.0" encoding="utf-8"?>
<ds:datastoreItem xmlns:ds="http://schemas.openxmlformats.org/officeDocument/2006/customXml" ds:itemID="{FCC89E51-FF5C-47B8-8F2D-A0ECBB6AC4A0}">
  <ds:schemaRefs/>
</ds:datastoreItem>
</file>

<file path=customXml/itemProps6.xml><?xml version="1.0" encoding="utf-8"?>
<ds:datastoreItem xmlns:ds="http://schemas.openxmlformats.org/officeDocument/2006/customXml" ds:itemID="{162A3545-1F11-4FB0-BD7A-22A5401B96D2}">
  <ds:schemaRefs/>
</ds:datastoreItem>
</file>

<file path=customXml/itemProps7.xml><?xml version="1.0" encoding="utf-8"?>
<ds:datastoreItem xmlns:ds="http://schemas.openxmlformats.org/officeDocument/2006/customXml" ds:itemID="{645F894C-AC8B-4317-A524-FD109BCB9BD2}">
  <ds:schemaRefs/>
</ds:datastoreItem>
</file>

<file path=customXml/itemProps8.xml><?xml version="1.0" encoding="utf-8"?>
<ds:datastoreItem xmlns:ds="http://schemas.openxmlformats.org/officeDocument/2006/customXml" ds:itemID="{6379DF15-054E-46F8-8960-04684A6D5FBF}">
  <ds:schemaRefs/>
</ds:datastoreItem>
</file>

<file path=customXml/itemProps9.xml><?xml version="1.0" encoding="utf-8"?>
<ds:datastoreItem xmlns:ds="http://schemas.openxmlformats.org/officeDocument/2006/customXml" ds:itemID="{3C9E24BA-1EA7-4155-BFF6-C48017BA8515}">
  <ds:schemaRefs/>
</ds:datastoreItem>
</file>

<file path=customXml/itemProps10.xml><?xml version="1.0" encoding="utf-8"?>
<ds:datastoreItem xmlns:ds="http://schemas.openxmlformats.org/officeDocument/2006/customXml" ds:itemID="{B92ACD27-B00C-45B6-996E-442D2D956254}">
  <ds:schemaRefs/>
</ds:datastoreItem>
</file>

<file path=customXml/itemProps11.xml><?xml version="1.0" encoding="utf-8"?>
<ds:datastoreItem xmlns:ds="http://schemas.openxmlformats.org/officeDocument/2006/customXml" ds:itemID="{CC787540-56AC-4230-BCAC-4D28B06CF4E9}">
  <ds:schemaRefs/>
</ds:datastoreItem>
</file>

<file path=customXml/itemProps12.xml><?xml version="1.0" encoding="utf-8"?>
<ds:datastoreItem xmlns:ds="http://schemas.openxmlformats.org/officeDocument/2006/customXml" ds:itemID="{46B2D974-6C17-45F8-B503-13AF0BBF7161}">
  <ds:schemaRefs/>
</ds:datastoreItem>
</file>

<file path=customXml/itemProps13.xml><?xml version="1.0" encoding="utf-8"?>
<ds:datastoreItem xmlns:ds="http://schemas.openxmlformats.org/officeDocument/2006/customXml" ds:itemID="{4500C49E-74F4-4F19-BC86-227F46C922CA}">
  <ds:schemaRefs/>
</ds:datastoreItem>
</file>

<file path=customXml/itemProps14.xml><?xml version="1.0" encoding="utf-8"?>
<ds:datastoreItem xmlns:ds="http://schemas.openxmlformats.org/officeDocument/2006/customXml" ds:itemID="{1D7ED698-D8C5-4637-8F3A-7141D9698D04}">
  <ds:schemaRefs/>
</ds:datastoreItem>
</file>

<file path=customXml/itemProps15.xml><?xml version="1.0" encoding="utf-8"?>
<ds:datastoreItem xmlns:ds="http://schemas.openxmlformats.org/officeDocument/2006/customXml" ds:itemID="{F4003F95-E028-41EC-80B4-FE94226A85AF}">
  <ds:schemaRefs/>
</ds:datastoreItem>
</file>

<file path=customXml/itemProps16.xml><?xml version="1.0" encoding="utf-8"?>
<ds:datastoreItem xmlns:ds="http://schemas.openxmlformats.org/officeDocument/2006/customXml" ds:itemID="{F922BA67-7D44-4F8A-B207-B2A74EC69F8C}">
  <ds:schemaRefs/>
</ds:datastoreItem>
</file>

<file path=customXml/itemProps17.xml><?xml version="1.0" encoding="utf-8"?>
<ds:datastoreItem xmlns:ds="http://schemas.openxmlformats.org/officeDocument/2006/customXml" ds:itemID="{2A8F364F-173F-4CA1-8C79-59C3063E17B8}">
  <ds:schemaRefs/>
</ds:datastoreItem>
</file>

<file path=customXml/itemProps18.xml><?xml version="1.0" encoding="utf-8"?>
<ds:datastoreItem xmlns:ds="http://schemas.openxmlformats.org/officeDocument/2006/customXml" ds:itemID="{8D2E0615-A4F2-496B-8EB0-FA77AF3D853B}">
  <ds:schemaRefs/>
</ds:datastoreItem>
</file>

<file path=customXml/itemProps19.xml><?xml version="1.0" encoding="utf-8"?>
<ds:datastoreItem xmlns:ds="http://schemas.openxmlformats.org/officeDocument/2006/customXml" ds:itemID="{EFE92A15-8C24-4FD7-9CD3-451D87C557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2024</vt:lpstr>
      <vt:lpstr>2024ds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Oskari Sulkakoski</dc:creator>
  <cp:lastModifiedBy>Oskari Sulkakoski</cp:lastModifiedBy>
  <dcterms:created xsi:type="dcterms:W3CDTF">2024-07-07T12:41:51Z</dcterms:created>
  <dcterms:modified xsi:type="dcterms:W3CDTF">2024-07-31T13:32:28Z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2024-07-07T12:43:16Z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2baacab8-5842-4cae-b85b-f70bdcce9af2</vt:lpwstr>
  </property>
  <property fmtid="{D5CDD505-2E9C-101B-9397-08002B2CF9AE}" pid="7" name="MSIP_Label_defa4170-0d19-0005-0004-bc88714345d2_ActionId">
    <vt:lpwstr>2260a790-60fd-4b1d-91c3-9c6424b88a95</vt:lpwstr>
  </property>
  <property fmtid="{D5CDD505-2E9C-101B-9397-08002B2CF9AE}" pid="8" name="MSIP_Label_defa4170-0d19-0005-0004-bc88714345d2_ContentBits">
    <vt:lpwstr>0</vt:lpwstr>
  </property>
</Properties>
</file>