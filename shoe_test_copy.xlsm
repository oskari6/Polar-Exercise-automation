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ouvolanammattiopisto-my.sharepoint.com/personal/oskari_sulkakoski_student_eduko_fi/Documents/Excel_Script/"/>
    </mc:Choice>
  </mc:AlternateContent>
  <xr:revisionPtr revIDLastSave="4" documentId="8_{3004579F-D2ED-4C4E-A830-D790641AD9BE}" xr6:coauthVersionLast="47" xr6:coauthVersionMax="47" xr10:uidLastSave="{1249BA0D-C07B-4EBB-94F5-6BDCD8B99E11}"/>
  <bookViews>
    <workbookView xWindow="5460" yWindow="1335" windowWidth="21600" windowHeight="11385" xr2:uid="{7A7D2289-A775-4C2B-91A1-EFFB021F5759}"/>
  </bookViews>
  <sheets>
    <sheet name="2024" sheetId="1" r:id="rId1"/>
    <sheet name="2024ds" sheetId="2" r:id="rId2"/>
  </sheets>
  <definedNames>
    <definedName name="_xlcn.WorksheetConnection_shoe_test.xlsmexercise_data1" hidden="1">exercise_data</definedName>
  </definedNames>
  <calcPr calcId="191029"/>
  <pivotCaches>
    <pivotCache cacheId="0" r:id="rId3"/>
    <pivotCache cacheId="4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rcise_data 1_c0213a55-714e-46a7-b9bf-87db17f4f301" name="exercise_data 1" connection="Query - exercise_data"/>
          <x15:modelTable id="exercise_data" name="exercise_data" connection="WorksheetConnection_shoe_test.xlsm!exercise_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2" i="1"/>
  <c r="C5" i="2"/>
  <c r="C2" i="2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W369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X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X24" i="1" s="1"/>
  <c r="G24" i="1" s="1"/>
  <c r="V25" i="1"/>
  <c r="W25" i="1" s="1"/>
  <c r="V26" i="1"/>
  <c r="X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X32" i="1" s="1"/>
  <c r="G32" i="1" s="1"/>
  <c r="V33" i="1"/>
  <c r="W33" i="1" s="1"/>
  <c r="V34" i="1"/>
  <c r="X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X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X64" i="1" s="1"/>
  <c r="G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X72" i="1" s="1"/>
  <c r="G72" i="1" s="1"/>
  <c r="V73" i="1"/>
  <c r="W73" i="1" s="1"/>
  <c r="V74" i="1"/>
  <c r="X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X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X96" i="1" s="1"/>
  <c r="G96" i="1" s="1"/>
  <c r="V97" i="1"/>
  <c r="W97" i="1" s="1"/>
  <c r="V98" i="1"/>
  <c r="X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X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X136" i="1" s="1"/>
  <c r="G136" i="1" s="1"/>
  <c r="V137" i="1"/>
  <c r="W137" i="1" s="1"/>
  <c r="V138" i="1"/>
  <c r="X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X152" i="1" s="1"/>
  <c r="G152" i="1" s="1"/>
  <c r="V153" i="1"/>
  <c r="W153" i="1" s="1"/>
  <c r="V154" i="1"/>
  <c r="X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X160" i="1" s="1"/>
  <c r="G160" i="1" s="1"/>
  <c r="V161" i="1"/>
  <c r="W161" i="1" s="1"/>
  <c r="V162" i="1"/>
  <c r="X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X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X184" i="1" s="1"/>
  <c r="G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X192" i="1" s="1"/>
  <c r="G192" i="1" s="1"/>
  <c r="V193" i="1"/>
  <c r="W193" i="1" s="1"/>
  <c r="V194" i="1"/>
  <c r="X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X200" i="1" s="1"/>
  <c r="G200" i="1" s="1"/>
  <c r="V201" i="1"/>
  <c r="W201" i="1" s="1"/>
  <c r="V202" i="1"/>
  <c r="X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X208" i="1" s="1"/>
  <c r="G208" i="1" s="1"/>
  <c r="V209" i="1"/>
  <c r="W209" i="1" s="1"/>
  <c r="V210" i="1"/>
  <c r="X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X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X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X248" i="1" s="1"/>
  <c r="G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X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X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X288" i="1" s="1"/>
  <c r="G288" i="1" s="1"/>
  <c r="V289" i="1"/>
  <c r="W289" i="1" s="1"/>
  <c r="V290" i="1"/>
  <c r="X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X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X312" i="1" s="1"/>
  <c r="G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X344" i="1" s="1"/>
  <c r="G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X368" i="1" s="1"/>
  <c r="G368" i="1" s="1"/>
  <c r="V2" i="1"/>
  <c r="W2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2" i="1"/>
  <c r="X11" i="1"/>
  <c r="G11" i="1" s="1"/>
  <c r="X12" i="1"/>
  <c r="G12" i="1" s="1"/>
  <c r="X14" i="1"/>
  <c r="G14" i="1" s="1"/>
  <c r="X15" i="1"/>
  <c r="G15" i="1" s="1"/>
  <c r="X20" i="1"/>
  <c r="G20" i="1" s="1"/>
  <c r="X22" i="1"/>
  <c r="G22" i="1" s="1"/>
  <c r="X23" i="1"/>
  <c r="G23" i="1" s="1"/>
  <c r="X28" i="1"/>
  <c r="X30" i="1"/>
  <c r="G30" i="1" s="1"/>
  <c r="X31" i="1"/>
  <c r="G31" i="1" s="1"/>
  <c r="X35" i="1"/>
  <c r="X36" i="1"/>
  <c r="X38" i="1"/>
  <c r="X39" i="1"/>
  <c r="G39" i="1" s="1"/>
  <c r="X43" i="1"/>
  <c r="G43" i="1" s="1"/>
  <c r="X44" i="1"/>
  <c r="G44" i="1" s="1"/>
  <c r="X46" i="1"/>
  <c r="G46" i="1" s="1"/>
  <c r="X47" i="1"/>
  <c r="G47" i="1" s="1"/>
  <c r="X52" i="1"/>
  <c r="X54" i="1"/>
  <c r="G54" i="1" s="1"/>
  <c r="X55" i="1"/>
  <c r="G55" i="1" s="1"/>
  <c r="X56" i="1"/>
  <c r="G56" i="1" s="1"/>
  <c r="X60" i="1"/>
  <c r="G60" i="1" s="1"/>
  <c r="X62" i="1"/>
  <c r="G62" i="1" s="1"/>
  <c r="X63" i="1"/>
  <c r="G63" i="1" s="1"/>
  <c r="X67" i="1"/>
  <c r="G67" i="1" s="1"/>
  <c r="X68" i="1"/>
  <c r="G68" i="1" s="1"/>
  <c r="X70" i="1"/>
  <c r="G70" i="1" s="1"/>
  <c r="X71" i="1"/>
  <c r="G71" i="1" s="1"/>
  <c r="X75" i="1"/>
  <c r="G75" i="1" s="1"/>
  <c r="X76" i="1"/>
  <c r="X78" i="1"/>
  <c r="G78" i="1" s="1"/>
  <c r="X79" i="1"/>
  <c r="G79" i="1" s="1"/>
  <c r="X84" i="1"/>
  <c r="G84" i="1" s="1"/>
  <c r="X86" i="1"/>
  <c r="G86" i="1" s="1"/>
  <c r="X87" i="1"/>
  <c r="G87" i="1" s="1"/>
  <c r="X88" i="1"/>
  <c r="G88" i="1" s="1"/>
  <c r="X89" i="1"/>
  <c r="X92" i="1"/>
  <c r="G92" i="1" s="1"/>
  <c r="X94" i="1"/>
  <c r="G94" i="1" s="1"/>
  <c r="X95" i="1"/>
  <c r="G95" i="1" s="1"/>
  <c r="X99" i="1"/>
  <c r="G99" i="1" s="1"/>
  <c r="X100" i="1"/>
  <c r="X102" i="1"/>
  <c r="G102" i="1" s="1"/>
  <c r="X103" i="1"/>
  <c r="G103" i="1" s="1"/>
  <c r="X107" i="1"/>
  <c r="G107" i="1" s="1"/>
  <c r="X108" i="1"/>
  <c r="G108" i="1" s="1"/>
  <c r="X110" i="1"/>
  <c r="G110" i="1" s="1"/>
  <c r="X111" i="1"/>
  <c r="G111" i="1" s="1"/>
  <c r="X116" i="1"/>
  <c r="X118" i="1"/>
  <c r="G118" i="1" s="1"/>
  <c r="X119" i="1"/>
  <c r="G119" i="1" s="1"/>
  <c r="X120" i="1"/>
  <c r="G120" i="1" s="1"/>
  <c r="X124" i="1"/>
  <c r="X126" i="1"/>
  <c r="G126" i="1" s="1"/>
  <c r="X127" i="1"/>
  <c r="G127" i="1" s="1"/>
  <c r="X131" i="1"/>
  <c r="G131" i="1" s="1"/>
  <c r="X132" i="1"/>
  <c r="G132" i="1" s="1"/>
  <c r="X134" i="1"/>
  <c r="X135" i="1"/>
  <c r="G135" i="1" s="1"/>
  <c r="X139" i="1"/>
  <c r="G139" i="1" s="1"/>
  <c r="X140" i="1"/>
  <c r="X142" i="1"/>
  <c r="G142" i="1" s="1"/>
  <c r="X143" i="1"/>
  <c r="G143" i="1" s="1"/>
  <c r="X148" i="1"/>
  <c r="G148" i="1" s="1"/>
  <c r="X150" i="1"/>
  <c r="G150" i="1" s="1"/>
  <c r="X151" i="1"/>
  <c r="G151" i="1" s="1"/>
  <c r="X156" i="1"/>
  <c r="X158" i="1"/>
  <c r="G158" i="1" s="1"/>
  <c r="X159" i="1"/>
  <c r="G159" i="1" s="1"/>
  <c r="X163" i="1"/>
  <c r="G163" i="1" s="1"/>
  <c r="X164" i="1"/>
  <c r="G164" i="1" s="1"/>
  <c r="X167" i="1"/>
  <c r="G167" i="1" s="1"/>
  <c r="X169" i="1"/>
  <c r="X171" i="1"/>
  <c r="G171" i="1" s="1"/>
  <c r="X172" i="1"/>
  <c r="X174" i="1"/>
  <c r="G174" i="1" s="1"/>
  <c r="X175" i="1"/>
  <c r="G175" i="1" s="1"/>
  <c r="X180" i="1"/>
  <c r="G180" i="1" s="1"/>
  <c r="X182" i="1"/>
  <c r="G182" i="1" s="1"/>
  <c r="X183" i="1"/>
  <c r="G183" i="1" s="1"/>
  <c r="X188" i="1"/>
  <c r="X191" i="1"/>
  <c r="G191" i="1" s="1"/>
  <c r="X196" i="1"/>
  <c r="X199" i="1"/>
  <c r="G199" i="1" s="1"/>
  <c r="X201" i="1"/>
  <c r="G201" i="1" s="1"/>
  <c r="X203" i="1"/>
  <c r="G203" i="1" s="1"/>
  <c r="X204" i="1"/>
  <c r="G204" i="1" s="1"/>
  <c r="X207" i="1"/>
  <c r="G207" i="1" s="1"/>
  <c r="X212" i="1"/>
  <c r="X215" i="1"/>
  <c r="G215" i="1" s="1"/>
  <c r="X217" i="1"/>
  <c r="X219" i="1"/>
  <c r="G219" i="1" s="1"/>
  <c r="X220" i="1"/>
  <c r="G220" i="1" s="1"/>
  <c r="X222" i="1"/>
  <c r="G222" i="1" s="1"/>
  <c r="X223" i="1"/>
  <c r="G223" i="1" s="1"/>
  <c r="X231" i="1"/>
  <c r="G231" i="1" s="1"/>
  <c r="X236" i="1"/>
  <c r="X238" i="1"/>
  <c r="G238" i="1" s="1"/>
  <c r="X239" i="1"/>
  <c r="G239" i="1" s="1"/>
  <c r="X240" i="1"/>
  <c r="X247" i="1"/>
  <c r="G247" i="1" s="1"/>
  <c r="X255" i="1"/>
  <c r="G255" i="1" s="1"/>
  <c r="X260" i="1"/>
  <c r="G260" i="1" s="1"/>
  <c r="X263" i="1"/>
  <c r="X264" i="1"/>
  <c r="G264" i="1" s="1"/>
  <c r="X265" i="1"/>
  <c r="G265" i="1" s="1"/>
  <c r="X267" i="1"/>
  <c r="G267" i="1" s="1"/>
  <c r="X271" i="1"/>
  <c r="G271" i="1" s="1"/>
  <c r="X276" i="1"/>
  <c r="G276" i="1" s="1"/>
  <c r="X279" i="1"/>
  <c r="G279" i="1" s="1"/>
  <c r="X283" i="1"/>
  <c r="G283" i="1" s="1"/>
  <c r="X286" i="1"/>
  <c r="G286" i="1" s="1"/>
  <c r="X287" i="1"/>
  <c r="G287" i="1" s="1"/>
  <c r="X292" i="1"/>
  <c r="X295" i="1"/>
  <c r="G295" i="1" s="1"/>
  <c r="X297" i="1"/>
  <c r="X300" i="1"/>
  <c r="G300" i="1" s="1"/>
  <c r="X302" i="1"/>
  <c r="G302" i="1" s="1"/>
  <c r="X303" i="1"/>
  <c r="G303" i="1" s="1"/>
  <c r="X304" i="1"/>
  <c r="X311" i="1"/>
  <c r="G311" i="1" s="1"/>
  <c r="X319" i="1"/>
  <c r="G319" i="1" s="1"/>
  <c r="X324" i="1"/>
  <c r="X325" i="1"/>
  <c r="G325" i="1" s="1"/>
  <c r="X327" i="1"/>
  <c r="G327" i="1" s="1"/>
  <c r="X328" i="1"/>
  <c r="G328" i="1" s="1"/>
  <c r="X335" i="1"/>
  <c r="X340" i="1"/>
  <c r="G340" i="1" s="1"/>
  <c r="X341" i="1"/>
  <c r="G341" i="1" s="1"/>
  <c r="X343" i="1"/>
  <c r="G343" i="1" s="1"/>
  <c r="X349" i="1"/>
  <c r="G349" i="1" s="1"/>
  <c r="X351" i="1"/>
  <c r="G351" i="1" s="1"/>
  <c r="X352" i="1"/>
  <c r="G352" i="1" s="1"/>
  <c r="X353" i="1"/>
  <c r="G353" i="1" s="1"/>
  <c r="X359" i="1"/>
  <c r="G359" i="1" s="1"/>
  <c r="X360" i="1"/>
  <c r="G360" i="1" s="1"/>
  <c r="X361" i="1"/>
  <c r="G361" i="1" s="1"/>
  <c r="X367" i="1"/>
  <c r="G367" i="1" s="1"/>
  <c r="G124" i="1"/>
  <c r="G140" i="1"/>
  <c r="G156" i="1"/>
  <c r="G172" i="1"/>
  <c r="G188" i="1"/>
  <c r="G236" i="1"/>
  <c r="G292" i="1"/>
  <c r="G304" i="1"/>
  <c r="G28" i="1"/>
  <c r="G35" i="1"/>
  <c r="G36" i="1"/>
  <c r="G38" i="1"/>
  <c r="G52" i="1"/>
  <c r="G76" i="1"/>
  <c r="G100" i="1"/>
  <c r="G116" i="1"/>
  <c r="G134" i="1"/>
  <c r="G196" i="1"/>
  <c r="G212" i="1"/>
  <c r="G240" i="1"/>
  <c r="G324" i="1"/>
  <c r="C3" i="2" l="1"/>
  <c r="C6" i="2"/>
  <c r="C8" i="2"/>
  <c r="W50" i="1"/>
  <c r="W290" i="1"/>
  <c r="W210" i="1"/>
  <c r="W90" i="1"/>
  <c r="W34" i="1"/>
  <c r="W368" i="1"/>
  <c r="W344" i="1"/>
  <c r="W312" i="1"/>
  <c r="W288" i="1"/>
  <c r="W248" i="1"/>
  <c r="W208" i="1"/>
  <c r="W200" i="1"/>
  <c r="W192" i="1"/>
  <c r="W184" i="1"/>
  <c r="W160" i="1"/>
  <c r="W152" i="1"/>
  <c r="W136" i="1"/>
  <c r="W96" i="1"/>
  <c r="W72" i="1"/>
  <c r="W64" i="1"/>
  <c r="W32" i="1"/>
  <c r="W24" i="1"/>
  <c r="W274" i="1"/>
  <c r="W234" i="1"/>
  <c r="W194" i="1"/>
  <c r="W154" i="1"/>
  <c r="X266" i="1"/>
  <c r="G266" i="1" s="1"/>
  <c r="W298" i="1"/>
  <c r="W258" i="1"/>
  <c r="W218" i="1"/>
  <c r="W178" i="1"/>
  <c r="W138" i="1"/>
  <c r="W114" i="1"/>
  <c r="W74" i="1"/>
  <c r="W98" i="1"/>
  <c r="W26" i="1"/>
  <c r="W202" i="1"/>
  <c r="W162" i="1"/>
  <c r="W10" i="1"/>
  <c r="X256" i="1"/>
  <c r="G256" i="1" s="1"/>
  <c r="X242" i="1"/>
  <c r="G242" i="1" s="1"/>
  <c r="X128" i="1"/>
  <c r="G128" i="1" s="1"/>
  <c r="X320" i="1"/>
  <c r="G320" i="1" s="1"/>
  <c r="X306" i="1"/>
  <c r="G306" i="1" s="1"/>
  <c r="X146" i="1"/>
  <c r="G146" i="1" s="1"/>
  <c r="X18" i="1"/>
  <c r="X309" i="1"/>
  <c r="G309" i="1" s="1"/>
  <c r="X245" i="1"/>
  <c r="G245" i="1" s="1"/>
  <c r="X130" i="1"/>
  <c r="X356" i="1"/>
  <c r="G356" i="1" s="1"/>
  <c r="X293" i="1"/>
  <c r="G293" i="1" s="1"/>
  <c r="X228" i="1"/>
  <c r="G228" i="1" s="1"/>
  <c r="X112" i="1"/>
  <c r="G112" i="1" s="1"/>
  <c r="X348" i="1"/>
  <c r="G348" i="1" s="1"/>
  <c r="X284" i="1"/>
  <c r="G284" i="1" s="1"/>
  <c r="X82" i="1"/>
  <c r="X336" i="1"/>
  <c r="G336" i="1" s="1"/>
  <c r="X272" i="1"/>
  <c r="G272" i="1" s="1"/>
  <c r="X66" i="1"/>
  <c r="X332" i="1"/>
  <c r="G332" i="1" s="1"/>
  <c r="X268" i="1"/>
  <c r="G268" i="1" s="1"/>
  <c r="X322" i="1"/>
  <c r="G322" i="1" s="1"/>
  <c r="X176" i="1"/>
  <c r="G176" i="1" s="1"/>
  <c r="X48" i="1"/>
  <c r="G48" i="1" s="1"/>
  <c r="X347" i="1"/>
  <c r="G347" i="1" s="1"/>
  <c r="X315" i="1"/>
  <c r="G315" i="1" s="1"/>
  <c r="X235" i="1"/>
  <c r="G235" i="1" s="1"/>
  <c r="X227" i="1"/>
  <c r="G227" i="1" s="1"/>
  <c r="X155" i="1"/>
  <c r="G155" i="1" s="1"/>
  <c r="X147" i="1"/>
  <c r="G147" i="1" s="1"/>
  <c r="X123" i="1"/>
  <c r="G123" i="1" s="1"/>
  <c r="X115" i="1"/>
  <c r="G115" i="1" s="1"/>
  <c r="X91" i="1"/>
  <c r="G91" i="1" s="1"/>
  <c r="X83" i="1"/>
  <c r="G83" i="1" s="1"/>
  <c r="X59" i="1"/>
  <c r="G59" i="1" s="1"/>
  <c r="X51" i="1"/>
  <c r="G51" i="1" s="1"/>
  <c r="X27" i="1"/>
  <c r="G27" i="1" s="1"/>
  <c r="X19" i="1"/>
  <c r="G19" i="1" s="1"/>
  <c r="X345" i="1"/>
  <c r="G345" i="1" s="1"/>
  <c r="X243" i="1"/>
  <c r="G243" i="1" s="1"/>
  <c r="X187" i="1"/>
  <c r="G187" i="1" s="1"/>
  <c r="X313" i="1"/>
  <c r="G313" i="1" s="1"/>
  <c r="X249" i="1"/>
  <c r="G249" i="1" s="1"/>
  <c r="X225" i="1"/>
  <c r="G225" i="1" s="1"/>
  <c r="X193" i="1"/>
  <c r="G193" i="1" s="1"/>
  <c r="G169" i="1"/>
  <c r="X137" i="1"/>
  <c r="G137" i="1" s="1"/>
  <c r="X113" i="1"/>
  <c r="G113" i="1" s="1"/>
  <c r="G89" i="1"/>
  <c r="X49" i="1"/>
  <c r="G49" i="1" s="1"/>
  <c r="X17" i="1"/>
  <c r="G17" i="1" s="1"/>
  <c r="X281" i="1"/>
  <c r="G281" i="1" s="1"/>
  <c r="X3" i="1"/>
  <c r="H3" i="1" s="1"/>
  <c r="X339" i="1"/>
  <c r="G339" i="1" s="1"/>
  <c r="X307" i="1"/>
  <c r="G307" i="1" s="1"/>
  <c r="X275" i="1"/>
  <c r="G275" i="1" s="1"/>
  <c r="X211" i="1"/>
  <c r="G211" i="1" s="1"/>
  <c r="X337" i="1"/>
  <c r="G337" i="1" s="1"/>
  <c r="G297" i="1"/>
  <c r="X273" i="1"/>
  <c r="G273" i="1" s="1"/>
  <c r="X177" i="1"/>
  <c r="G177" i="1" s="1"/>
  <c r="X145" i="1"/>
  <c r="G145" i="1" s="1"/>
  <c r="X121" i="1"/>
  <c r="G121" i="1" s="1"/>
  <c r="X73" i="1"/>
  <c r="G73" i="1" s="1"/>
  <c r="X350" i="1"/>
  <c r="G350" i="1" s="1"/>
  <c r="X342" i="1"/>
  <c r="G342" i="1" s="1"/>
  <c r="X334" i="1"/>
  <c r="G334" i="1" s="1"/>
  <c r="X326" i="1"/>
  <c r="G326" i="1" s="1"/>
  <c r="X318" i="1"/>
  <c r="G318" i="1" s="1"/>
  <c r="X310" i="1"/>
  <c r="G310" i="1" s="1"/>
  <c r="X294" i="1"/>
  <c r="X278" i="1"/>
  <c r="G278" i="1" s="1"/>
  <c r="X270" i="1"/>
  <c r="G270" i="1" s="1"/>
  <c r="X262" i="1"/>
  <c r="G262" i="1" s="1"/>
  <c r="X254" i="1"/>
  <c r="X246" i="1"/>
  <c r="G246" i="1" s="1"/>
  <c r="X230" i="1"/>
  <c r="G230" i="1" s="1"/>
  <c r="X214" i="1"/>
  <c r="G214" i="1" s="1"/>
  <c r="X206" i="1"/>
  <c r="G206" i="1" s="1"/>
  <c r="X198" i="1"/>
  <c r="G198" i="1" s="1"/>
  <c r="X190" i="1"/>
  <c r="G190" i="1" s="1"/>
  <c r="X166" i="1"/>
  <c r="G166" i="1" s="1"/>
  <c r="X366" i="1"/>
  <c r="G366" i="1" s="1"/>
  <c r="X41" i="1"/>
  <c r="G41" i="1" s="1"/>
  <c r="X355" i="1"/>
  <c r="G355" i="1" s="1"/>
  <c r="X323" i="1"/>
  <c r="G323" i="1" s="1"/>
  <c r="X299" i="1"/>
  <c r="G299" i="1" s="1"/>
  <c r="X259" i="1"/>
  <c r="G259" i="1" s="1"/>
  <c r="X179" i="1"/>
  <c r="G179" i="1" s="1"/>
  <c r="X329" i="1"/>
  <c r="G329" i="1" s="1"/>
  <c r="X305" i="1"/>
  <c r="G305" i="1" s="1"/>
  <c r="X289" i="1"/>
  <c r="G289" i="1" s="1"/>
  <c r="X257" i="1"/>
  <c r="G257" i="1" s="1"/>
  <c r="X241" i="1"/>
  <c r="G241" i="1" s="1"/>
  <c r="G217" i="1"/>
  <c r="X185" i="1"/>
  <c r="G185" i="1" s="1"/>
  <c r="X161" i="1"/>
  <c r="G161" i="1" s="1"/>
  <c r="X129" i="1"/>
  <c r="G129" i="1" s="1"/>
  <c r="X97" i="1"/>
  <c r="G97" i="1" s="1"/>
  <c r="X65" i="1"/>
  <c r="G65" i="1" s="1"/>
  <c r="X153" i="1"/>
  <c r="G153" i="1" s="1"/>
  <c r="X358" i="1"/>
  <c r="G358" i="1" s="1"/>
  <c r="X25" i="1"/>
  <c r="G25" i="1" s="1"/>
  <c r="X363" i="1"/>
  <c r="G363" i="1" s="1"/>
  <c r="X331" i="1"/>
  <c r="G331" i="1" s="1"/>
  <c r="X291" i="1"/>
  <c r="G291" i="1" s="1"/>
  <c r="X251" i="1"/>
  <c r="G251" i="1" s="1"/>
  <c r="X195" i="1"/>
  <c r="G195" i="1" s="1"/>
  <c r="X321" i="1"/>
  <c r="G321" i="1" s="1"/>
  <c r="X209" i="1"/>
  <c r="G209" i="1" s="1"/>
  <c r="X81" i="1"/>
  <c r="G81" i="1" s="1"/>
  <c r="X57" i="1"/>
  <c r="G57" i="1" s="1"/>
  <c r="X33" i="1"/>
  <c r="G33" i="1" s="1"/>
  <c r="X9" i="1"/>
  <c r="H9" i="1" s="1"/>
  <c r="X233" i="1"/>
  <c r="G233" i="1" s="1"/>
  <c r="X105" i="1"/>
  <c r="G105" i="1" s="1"/>
  <c r="X357" i="1"/>
  <c r="G357" i="1" s="1"/>
  <c r="X346" i="1"/>
  <c r="G346" i="1" s="1"/>
  <c r="X333" i="1"/>
  <c r="G333" i="1" s="1"/>
  <c r="X308" i="1"/>
  <c r="G308" i="1" s="1"/>
  <c r="X296" i="1"/>
  <c r="G296" i="1" s="1"/>
  <c r="X282" i="1"/>
  <c r="G282" i="1" s="1"/>
  <c r="X269" i="1"/>
  <c r="G269" i="1" s="1"/>
  <c r="X244" i="1"/>
  <c r="G244" i="1" s="1"/>
  <c r="X232" i="1"/>
  <c r="G232" i="1" s="1"/>
  <c r="X216" i="1"/>
  <c r="G216" i="1" s="1"/>
  <c r="X170" i="1"/>
  <c r="G170" i="1" s="1"/>
  <c r="X106" i="1"/>
  <c r="G106" i="1" s="1"/>
  <c r="X42" i="1"/>
  <c r="G42" i="1" s="1"/>
  <c r="X365" i="1"/>
  <c r="G365" i="1" s="1"/>
  <c r="X354" i="1"/>
  <c r="G354" i="1" s="1"/>
  <c r="X330" i="1"/>
  <c r="G330" i="1" s="1"/>
  <c r="X317" i="1"/>
  <c r="G317" i="1" s="1"/>
  <c r="X280" i="1"/>
  <c r="G280" i="1" s="1"/>
  <c r="X253" i="1"/>
  <c r="G253" i="1" s="1"/>
  <c r="X226" i="1"/>
  <c r="G226" i="1" s="1"/>
  <c r="X186" i="1"/>
  <c r="G186" i="1" s="1"/>
  <c r="X168" i="1"/>
  <c r="G168" i="1" s="1"/>
  <c r="X122" i="1"/>
  <c r="G122" i="1" s="1"/>
  <c r="X104" i="1"/>
  <c r="G104" i="1" s="1"/>
  <c r="X58" i="1"/>
  <c r="G58" i="1" s="1"/>
  <c r="X40" i="1"/>
  <c r="G40" i="1" s="1"/>
  <c r="X8" i="1"/>
  <c r="H8" i="1" s="1"/>
  <c r="X364" i="1"/>
  <c r="G364" i="1" s="1"/>
  <c r="X316" i="1"/>
  <c r="G316" i="1" s="1"/>
  <c r="X277" i="1"/>
  <c r="G277" i="1" s="1"/>
  <c r="X252" i="1"/>
  <c r="G252" i="1" s="1"/>
  <c r="X144" i="1"/>
  <c r="G144" i="1" s="1"/>
  <c r="X80" i="1"/>
  <c r="G80" i="1" s="1"/>
  <c r="X16" i="1"/>
  <c r="G16" i="1" s="1"/>
  <c r="X7" i="1"/>
  <c r="H7" i="1" s="1"/>
  <c r="X362" i="1"/>
  <c r="G362" i="1" s="1"/>
  <c r="X314" i="1"/>
  <c r="G314" i="1" s="1"/>
  <c r="X301" i="1"/>
  <c r="G301" i="1" s="1"/>
  <c r="X250" i="1"/>
  <c r="G250" i="1" s="1"/>
  <c r="X237" i="1"/>
  <c r="G237" i="1" s="1"/>
  <c r="X224" i="1"/>
  <c r="G224" i="1" s="1"/>
  <c r="X229" i="1"/>
  <c r="G229" i="1" s="1"/>
  <c r="X221" i="1"/>
  <c r="G221" i="1" s="1"/>
  <c r="X213" i="1"/>
  <c r="G213" i="1" s="1"/>
  <c r="X205" i="1"/>
  <c r="G205" i="1" s="1"/>
  <c r="X197" i="1"/>
  <c r="G197" i="1" s="1"/>
  <c r="X189" i="1"/>
  <c r="G189" i="1" s="1"/>
  <c r="X181" i="1"/>
  <c r="G181" i="1" s="1"/>
  <c r="X173" i="1"/>
  <c r="G173" i="1" s="1"/>
  <c r="X165" i="1"/>
  <c r="G165" i="1" s="1"/>
  <c r="X157" i="1"/>
  <c r="G157" i="1" s="1"/>
  <c r="X149" i="1"/>
  <c r="G149" i="1" s="1"/>
  <c r="X141" i="1"/>
  <c r="G141" i="1" s="1"/>
  <c r="X133" i="1"/>
  <c r="G133" i="1" s="1"/>
  <c r="X125" i="1"/>
  <c r="G125" i="1" s="1"/>
  <c r="X117" i="1"/>
  <c r="G117" i="1" s="1"/>
  <c r="X109" i="1"/>
  <c r="G109" i="1" s="1"/>
  <c r="X101" i="1"/>
  <c r="G101" i="1" s="1"/>
  <c r="X93" i="1"/>
  <c r="G93" i="1" s="1"/>
  <c r="X85" i="1"/>
  <c r="G85" i="1" s="1"/>
  <c r="X77" i="1"/>
  <c r="G77" i="1" s="1"/>
  <c r="X69" i="1"/>
  <c r="G69" i="1" s="1"/>
  <c r="X61" i="1"/>
  <c r="G61" i="1" s="1"/>
  <c r="X53" i="1"/>
  <c r="G53" i="1" s="1"/>
  <c r="X45" i="1"/>
  <c r="G45" i="1" s="1"/>
  <c r="X37" i="1"/>
  <c r="G37" i="1" s="1"/>
  <c r="X29" i="1"/>
  <c r="G29" i="1" s="1"/>
  <c r="X21" i="1"/>
  <c r="G21" i="1" s="1"/>
  <c r="X13" i="1"/>
  <c r="G13" i="1" s="1"/>
  <c r="X5" i="1"/>
  <c r="H5" i="1" s="1"/>
  <c r="X6" i="1"/>
  <c r="H6" i="1" s="1"/>
  <c r="X338" i="1"/>
  <c r="G338" i="1" s="1"/>
  <c r="X261" i="1"/>
  <c r="G261" i="1" s="1"/>
  <c r="X4" i="1"/>
  <c r="H4" i="1" s="1"/>
  <c r="X285" i="1"/>
  <c r="G285" i="1" s="1"/>
  <c r="G10" i="1"/>
  <c r="G294" i="1"/>
  <c r="G254" i="1"/>
  <c r="G290" i="1"/>
  <c r="G234" i="1"/>
  <c r="G218" i="1"/>
  <c r="G202" i="1"/>
  <c r="G154" i="1"/>
  <c r="G263" i="1"/>
  <c r="G138" i="1"/>
  <c r="G130" i="1"/>
  <c r="G114" i="1"/>
  <c r="G98" i="1"/>
  <c r="G90" i="1"/>
  <c r="G82" i="1"/>
  <c r="G74" i="1"/>
  <c r="G66" i="1"/>
  <c r="G50" i="1"/>
  <c r="G34" i="1"/>
  <c r="G26" i="1"/>
  <c r="G18" i="1"/>
  <c r="G274" i="1"/>
  <c r="G335" i="1"/>
  <c r="G298" i="1"/>
  <c r="G258" i="1"/>
  <c r="G210" i="1"/>
  <c r="G194" i="1"/>
  <c r="G178" i="1"/>
  <c r="G162" i="1"/>
  <c r="T2" i="1"/>
  <c r="C9" i="2" l="1"/>
  <c r="E8" i="2"/>
  <c r="D8" i="2"/>
  <c r="E6" i="2"/>
  <c r="D6" i="2"/>
  <c r="C4" i="2"/>
  <c r="E3" i="2"/>
  <c r="D3" i="2"/>
  <c r="E4" i="2" l="1"/>
  <c r="D4" i="2"/>
  <c r="E5" i="2"/>
  <c r="D5" i="2"/>
  <c r="C10" i="2"/>
  <c r="D9" i="2"/>
  <c r="E9" i="2"/>
  <c r="C11" i="2" l="1"/>
  <c r="D10" i="2"/>
  <c r="E10" i="2"/>
  <c r="C12" i="2" l="1"/>
  <c r="E11" i="2"/>
  <c r="D11" i="2"/>
  <c r="C13" i="2" l="1"/>
  <c r="E12" i="2"/>
  <c r="D12" i="2"/>
  <c r="C14" i="2" l="1"/>
  <c r="E13" i="2"/>
  <c r="D13" i="2"/>
  <c r="C15" i="2" l="1"/>
  <c r="E14" i="2"/>
  <c r="D14" i="2"/>
  <c r="C16" i="2" l="1"/>
  <c r="E15" i="2"/>
  <c r="D15" i="2"/>
  <c r="C17" i="2" l="1"/>
  <c r="E16" i="2"/>
  <c r="D16" i="2"/>
  <c r="C18" i="2" l="1"/>
  <c r="D17" i="2"/>
  <c r="E17" i="2"/>
  <c r="C19" i="2" l="1"/>
  <c r="D18" i="2"/>
  <c r="E18" i="2"/>
  <c r="C20" i="2" l="1"/>
  <c r="E19" i="2"/>
  <c r="D19" i="2"/>
  <c r="C21" i="2" l="1"/>
  <c r="E20" i="2"/>
  <c r="D20" i="2"/>
  <c r="C22" i="2" l="1"/>
  <c r="E21" i="2"/>
  <c r="D21" i="2"/>
  <c r="C23" i="2" l="1"/>
  <c r="E22" i="2"/>
  <c r="D22" i="2"/>
  <c r="C24" i="2" l="1"/>
  <c r="E23" i="2"/>
  <c r="D23" i="2"/>
  <c r="C25" i="2" l="1"/>
  <c r="E24" i="2"/>
  <c r="D24" i="2"/>
  <c r="C26" i="2" l="1"/>
  <c r="D25" i="2"/>
  <c r="E25" i="2"/>
  <c r="C27" i="2" l="1"/>
  <c r="D26" i="2"/>
  <c r="E26" i="2"/>
  <c r="C28" i="2" l="1"/>
  <c r="E27" i="2"/>
  <c r="D27" i="2"/>
  <c r="C29" i="2" l="1"/>
  <c r="E28" i="2"/>
  <c r="D28" i="2"/>
  <c r="C30" i="2" l="1"/>
  <c r="E29" i="2"/>
  <c r="D29" i="2"/>
  <c r="X2" i="1"/>
  <c r="H2" i="1" s="1"/>
  <c r="C31" i="2" l="1"/>
  <c r="E30" i="2"/>
  <c r="D30" i="2"/>
  <c r="C32" i="2" l="1"/>
  <c r="E31" i="2"/>
  <c r="D31" i="2"/>
  <c r="C33" i="2" l="1"/>
  <c r="E32" i="2"/>
  <c r="D32" i="2"/>
  <c r="C34" i="2" l="1"/>
  <c r="D33" i="2"/>
  <c r="E33" i="2"/>
  <c r="C35" i="2" l="1"/>
  <c r="D34" i="2"/>
  <c r="E34" i="2"/>
  <c r="C36" i="2" l="1"/>
  <c r="E35" i="2"/>
  <c r="D35" i="2"/>
  <c r="C37" i="2" l="1"/>
  <c r="E36" i="2"/>
  <c r="D36" i="2"/>
  <c r="C38" i="2" l="1"/>
  <c r="E37" i="2"/>
  <c r="D37" i="2"/>
  <c r="C39" i="2" l="1"/>
  <c r="E38" i="2"/>
  <c r="D38" i="2"/>
  <c r="C40" i="2" l="1"/>
  <c r="E39" i="2"/>
  <c r="D39" i="2"/>
  <c r="C41" i="2" l="1"/>
  <c r="E40" i="2"/>
  <c r="D40" i="2"/>
  <c r="C42" i="2" l="1"/>
  <c r="D41" i="2"/>
  <c r="E41" i="2"/>
  <c r="C43" i="2" l="1"/>
  <c r="D42" i="2"/>
  <c r="E42" i="2"/>
  <c r="C44" i="2" l="1"/>
  <c r="E43" i="2"/>
  <c r="D43" i="2"/>
  <c r="C45" i="2" l="1"/>
  <c r="E44" i="2"/>
  <c r="D44" i="2"/>
  <c r="C46" i="2" l="1"/>
  <c r="E45" i="2"/>
  <c r="D45" i="2"/>
  <c r="C47" i="2" l="1"/>
  <c r="E46" i="2"/>
  <c r="D46" i="2"/>
  <c r="C48" i="2" l="1"/>
  <c r="E47" i="2"/>
  <c r="D47" i="2"/>
  <c r="C49" i="2" l="1"/>
  <c r="E48" i="2"/>
  <c r="D48" i="2"/>
  <c r="C50" i="2" l="1"/>
  <c r="D49" i="2"/>
  <c r="E49" i="2"/>
  <c r="C51" i="2" l="1"/>
  <c r="D50" i="2"/>
  <c r="E50" i="2"/>
  <c r="C52" i="2" l="1"/>
  <c r="E51" i="2"/>
  <c r="D51" i="2"/>
  <c r="C53" i="2" l="1"/>
  <c r="E52" i="2"/>
  <c r="D52" i="2"/>
  <c r="C54" i="2" l="1"/>
  <c r="E53" i="2"/>
  <c r="D53" i="2"/>
  <c r="C55" i="2" l="1"/>
  <c r="E54" i="2"/>
  <c r="D54" i="2"/>
  <c r="C56" i="2" l="1"/>
  <c r="E55" i="2"/>
  <c r="D55" i="2"/>
  <c r="C57" i="2" l="1"/>
  <c r="E56" i="2"/>
  <c r="D56" i="2"/>
  <c r="C58" i="2" l="1"/>
  <c r="D57" i="2"/>
  <c r="E57" i="2"/>
  <c r="C59" i="2" l="1"/>
  <c r="D58" i="2"/>
  <c r="E58" i="2"/>
  <c r="C60" i="2" l="1"/>
  <c r="E59" i="2"/>
  <c r="D59" i="2"/>
  <c r="C61" i="2" l="1"/>
  <c r="E60" i="2"/>
  <c r="D60" i="2"/>
  <c r="C62" i="2" l="1"/>
  <c r="E61" i="2"/>
  <c r="D61" i="2"/>
  <c r="C63" i="2" l="1"/>
  <c r="E62" i="2"/>
  <c r="D62" i="2"/>
  <c r="C64" i="2" l="1"/>
  <c r="E63" i="2"/>
  <c r="D63" i="2"/>
  <c r="C65" i="2" l="1"/>
  <c r="E64" i="2"/>
  <c r="D64" i="2"/>
  <c r="C66" i="2" l="1"/>
  <c r="D65" i="2"/>
  <c r="E65" i="2"/>
  <c r="C67" i="2" l="1"/>
  <c r="D66" i="2"/>
  <c r="E66" i="2"/>
  <c r="C68" i="2" l="1"/>
  <c r="E67" i="2"/>
  <c r="D67" i="2"/>
  <c r="C69" i="2" l="1"/>
  <c r="E68" i="2"/>
  <c r="D68" i="2"/>
  <c r="C70" i="2" l="1"/>
  <c r="E69" i="2"/>
  <c r="D69" i="2"/>
  <c r="C71" i="2" l="1"/>
  <c r="E70" i="2"/>
  <c r="D70" i="2"/>
  <c r="C72" i="2" l="1"/>
  <c r="E71" i="2"/>
  <c r="D71" i="2"/>
  <c r="C73" i="2" l="1"/>
  <c r="E72" i="2"/>
  <c r="D72" i="2"/>
  <c r="C74" i="2" l="1"/>
  <c r="D73" i="2"/>
  <c r="E73" i="2"/>
  <c r="C75" i="2" l="1"/>
  <c r="D74" i="2"/>
  <c r="E74" i="2"/>
  <c r="C76" i="2" l="1"/>
  <c r="E75" i="2"/>
  <c r="D75" i="2"/>
  <c r="C77" i="2" l="1"/>
  <c r="E76" i="2"/>
  <c r="D76" i="2"/>
  <c r="C78" i="2" l="1"/>
  <c r="E77" i="2"/>
  <c r="D77" i="2"/>
  <c r="C79" i="2" l="1"/>
  <c r="E78" i="2"/>
  <c r="D78" i="2"/>
  <c r="C80" i="2" l="1"/>
  <c r="E79" i="2"/>
  <c r="D79" i="2"/>
  <c r="C81" i="2" l="1"/>
  <c r="E80" i="2"/>
  <c r="D80" i="2"/>
  <c r="C82" i="2" l="1"/>
  <c r="D81" i="2"/>
  <c r="E81" i="2"/>
  <c r="C83" i="2" l="1"/>
  <c r="D82" i="2"/>
  <c r="E82" i="2"/>
  <c r="C84" i="2" l="1"/>
  <c r="E83" i="2"/>
  <c r="D83" i="2"/>
  <c r="C85" i="2" l="1"/>
  <c r="E84" i="2"/>
  <c r="D84" i="2"/>
  <c r="C86" i="2" l="1"/>
  <c r="E85" i="2"/>
  <c r="D85" i="2"/>
  <c r="C87" i="2" l="1"/>
  <c r="E86" i="2"/>
  <c r="D86" i="2"/>
  <c r="C88" i="2" l="1"/>
  <c r="E87" i="2"/>
  <c r="D87" i="2"/>
  <c r="C89" i="2" l="1"/>
  <c r="E88" i="2"/>
  <c r="D88" i="2"/>
  <c r="C90" i="2" l="1"/>
  <c r="D89" i="2"/>
  <c r="E89" i="2"/>
  <c r="C91" i="2" l="1"/>
  <c r="D90" i="2"/>
  <c r="E90" i="2"/>
  <c r="C92" i="2" l="1"/>
  <c r="E91" i="2"/>
  <c r="D91" i="2"/>
  <c r="C93" i="2" l="1"/>
  <c r="E92" i="2"/>
  <c r="D92" i="2"/>
  <c r="C94" i="2" l="1"/>
  <c r="E93" i="2"/>
  <c r="D93" i="2"/>
  <c r="C95" i="2" l="1"/>
  <c r="E94" i="2"/>
  <c r="D94" i="2"/>
  <c r="C96" i="2" l="1"/>
  <c r="E95" i="2"/>
  <c r="D95" i="2"/>
  <c r="C97" i="2" l="1"/>
  <c r="E96" i="2"/>
  <c r="D96" i="2"/>
  <c r="C98" i="2" l="1"/>
  <c r="D97" i="2"/>
  <c r="E97" i="2"/>
  <c r="C99" i="2" l="1"/>
  <c r="D98" i="2"/>
  <c r="E98" i="2"/>
  <c r="C100" i="2" l="1"/>
  <c r="E99" i="2"/>
  <c r="D99" i="2"/>
  <c r="C101" i="2" l="1"/>
  <c r="E100" i="2"/>
  <c r="D100" i="2"/>
  <c r="C102" i="2" l="1"/>
  <c r="E101" i="2"/>
  <c r="D101" i="2"/>
  <c r="C103" i="2" l="1"/>
  <c r="E102" i="2"/>
  <c r="D102" i="2"/>
  <c r="C104" i="2" l="1"/>
  <c r="E103" i="2"/>
  <c r="D103" i="2"/>
  <c r="C105" i="2" l="1"/>
  <c r="E104" i="2"/>
  <c r="D104" i="2"/>
  <c r="C106" i="2" l="1"/>
  <c r="D105" i="2"/>
  <c r="E105" i="2"/>
  <c r="C107" i="2" l="1"/>
  <c r="D106" i="2"/>
  <c r="E106" i="2"/>
  <c r="C108" i="2" l="1"/>
  <c r="E107" i="2"/>
  <c r="D107" i="2"/>
  <c r="C109" i="2" l="1"/>
  <c r="E108" i="2"/>
  <c r="D108" i="2"/>
  <c r="C110" i="2" l="1"/>
  <c r="E109" i="2"/>
  <c r="D109" i="2"/>
  <c r="C111" i="2" l="1"/>
  <c r="E110" i="2"/>
  <c r="D110" i="2"/>
  <c r="C112" i="2" l="1"/>
  <c r="E111" i="2"/>
  <c r="D111" i="2"/>
  <c r="C113" i="2" l="1"/>
  <c r="E112" i="2"/>
  <c r="D112" i="2"/>
  <c r="C114" i="2" l="1"/>
  <c r="D113" i="2"/>
  <c r="E113" i="2"/>
  <c r="C115" i="2" l="1"/>
  <c r="D114" i="2"/>
  <c r="E114" i="2"/>
  <c r="C116" i="2" l="1"/>
  <c r="E115" i="2"/>
  <c r="D115" i="2"/>
  <c r="C117" i="2" l="1"/>
  <c r="E116" i="2"/>
  <c r="D116" i="2"/>
  <c r="C118" i="2" l="1"/>
  <c r="E117" i="2"/>
  <c r="D117" i="2"/>
  <c r="C119" i="2" l="1"/>
  <c r="E118" i="2"/>
  <c r="D118" i="2"/>
  <c r="C120" i="2" l="1"/>
  <c r="E119" i="2"/>
  <c r="D119" i="2"/>
  <c r="C121" i="2" l="1"/>
  <c r="E120" i="2"/>
  <c r="D120" i="2"/>
  <c r="C122" i="2" l="1"/>
  <c r="D121" i="2"/>
  <c r="E121" i="2"/>
  <c r="C123" i="2" l="1"/>
  <c r="D122" i="2"/>
  <c r="E122" i="2"/>
  <c r="C124" i="2" l="1"/>
  <c r="E123" i="2"/>
  <c r="D123" i="2"/>
  <c r="C125" i="2" l="1"/>
  <c r="E124" i="2"/>
  <c r="D124" i="2"/>
  <c r="C126" i="2" l="1"/>
  <c r="E125" i="2"/>
  <c r="D125" i="2"/>
  <c r="C127" i="2" l="1"/>
  <c r="E126" i="2"/>
  <c r="D126" i="2"/>
  <c r="C128" i="2" l="1"/>
  <c r="E127" i="2"/>
  <c r="D127" i="2"/>
  <c r="C129" i="2" l="1"/>
  <c r="E128" i="2"/>
  <c r="D128" i="2"/>
  <c r="C130" i="2" l="1"/>
  <c r="D129" i="2"/>
  <c r="E129" i="2"/>
  <c r="C131" i="2" l="1"/>
  <c r="D130" i="2"/>
  <c r="E130" i="2"/>
  <c r="C132" i="2" l="1"/>
  <c r="E131" i="2"/>
  <c r="D131" i="2"/>
  <c r="C133" i="2" l="1"/>
  <c r="E132" i="2"/>
  <c r="D132" i="2"/>
  <c r="C134" i="2" l="1"/>
  <c r="E133" i="2"/>
  <c r="D133" i="2"/>
  <c r="C135" i="2" l="1"/>
  <c r="E134" i="2"/>
  <c r="D134" i="2"/>
  <c r="C136" i="2" l="1"/>
  <c r="E135" i="2"/>
  <c r="D135" i="2"/>
  <c r="C137" i="2" l="1"/>
  <c r="E136" i="2"/>
  <c r="D136" i="2"/>
  <c r="C138" i="2" l="1"/>
  <c r="D137" i="2"/>
  <c r="E137" i="2"/>
  <c r="C139" i="2" l="1"/>
  <c r="D138" i="2"/>
  <c r="E138" i="2"/>
  <c r="C140" i="2" l="1"/>
  <c r="E139" i="2"/>
  <c r="D139" i="2"/>
  <c r="C141" i="2" l="1"/>
  <c r="E140" i="2"/>
  <c r="D140" i="2"/>
  <c r="C142" i="2" l="1"/>
  <c r="E141" i="2"/>
  <c r="D141" i="2"/>
  <c r="C143" i="2" l="1"/>
  <c r="E142" i="2"/>
  <c r="D142" i="2"/>
  <c r="C144" i="2" l="1"/>
  <c r="E143" i="2"/>
  <c r="D143" i="2"/>
  <c r="C145" i="2" l="1"/>
  <c r="E144" i="2"/>
  <c r="D144" i="2"/>
  <c r="C146" i="2" l="1"/>
  <c r="D145" i="2"/>
  <c r="E145" i="2"/>
  <c r="C147" i="2" l="1"/>
  <c r="D146" i="2"/>
  <c r="E146" i="2"/>
  <c r="C148" i="2" l="1"/>
  <c r="E147" i="2"/>
  <c r="D147" i="2"/>
  <c r="C149" i="2" l="1"/>
  <c r="E148" i="2"/>
  <c r="D148" i="2"/>
  <c r="C150" i="2" l="1"/>
  <c r="E149" i="2"/>
  <c r="D149" i="2"/>
  <c r="C151" i="2" l="1"/>
  <c r="E150" i="2"/>
  <c r="D150" i="2"/>
  <c r="C152" i="2" l="1"/>
  <c r="E151" i="2"/>
  <c r="D151" i="2"/>
  <c r="C153" i="2" l="1"/>
  <c r="E152" i="2"/>
  <c r="D152" i="2"/>
  <c r="C154" i="2" l="1"/>
  <c r="D153" i="2"/>
  <c r="E153" i="2"/>
  <c r="C155" i="2" l="1"/>
  <c r="D154" i="2"/>
  <c r="E154" i="2"/>
  <c r="C156" i="2" l="1"/>
  <c r="E155" i="2"/>
  <c r="D155" i="2"/>
  <c r="C157" i="2" l="1"/>
  <c r="E156" i="2"/>
  <c r="D156" i="2"/>
  <c r="C158" i="2" l="1"/>
  <c r="E157" i="2"/>
  <c r="D157" i="2"/>
  <c r="C159" i="2" l="1"/>
  <c r="E158" i="2"/>
  <c r="D158" i="2"/>
  <c r="C160" i="2" l="1"/>
  <c r="E159" i="2"/>
  <c r="D159" i="2"/>
  <c r="C161" i="2" l="1"/>
  <c r="E160" i="2"/>
  <c r="D160" i="2"/>
  <c r="C162" i="2" l="1"/>
  <c r="D161" i="2"/>
  <c r="E161" i="2"/>
  <c r="C163" i="2" l="1"/>
  <c r="D162" i="2"/>
  <c r="E162" i="2"/>
  <c r="C164" i="2" l="1"/>
  <c r="E163" i="2"/>
  <c r="D163" i="2"/>
  <c r="C165" i="2" l="1"/>
  <c r="E164" i="2"/>
  <c r="D164" i="2"/>
  <c r="C166" i="2" l="1"/>
  <c r="E165" i="2"/>
  <c r="D165" i="2"/>
  <c r="C167" i="2" l="1"/>
  <c r="E166" i="2"/>
  <c r="D166" i="2"/>
  <c r="C168" i="2" l="1"/>
  <c r="E167" i="2"/>
  <c r="D167" i="2"/>
  <c r="C169" i="2" l="1"/>
  <c r="E168" i="2"/>
  <c r="D168" i="2"/>
  <c r="C170" i="2" l="1"/>
  <c r="D169" i="2"/>
  <c r="E169" i="2"/>
  <c r="C171" i="2" l="1"/>
  <c r="D170" i="2"/>
  <c r="E170" i="2"/>
  <c r="C172" i="2" l="1"/>
  <c r="E171" i="2"/>
  <c r="D171" i="2"/>
  <c r="C173" i="2" l="1"/>
  <c r="E172" i="2"/>
  <c r="D172" i="2"/>
  <c r="C174" i="2" l="1"/>
  <c r="E173" i="2"/>
  <c r="D173" i="2"/>
  <c r="C175" i="2" l="1"/>
  <c r="E174" i="2"/>
  <c r="D174" i="2"/>
  <c r="C176" i="2" l="1"/>
  <c r="E175" i="2"/>
  <c r="D175" i="2"/>
  <c r="C177" i="2" l="1"/>
  <c r="E176" i="2"/>
  <c r="D176" i="2"/>
  <c r="C178" i="2" l="1"/>
  <c r="D177" i="2"/>
  <c r="E177" i="2"/>
  <c r="C179" i="2" l="1"/>
  <c r="D178" i="2"/>
  <c r="E178" i="2"/>
  <c r="C180" i="2" l="1"/>
  <c r="E179" i="2"/>
  <c r="D179" i="2"/>
  <c r="C181" i="2" l="1"/>
  <c r="E180" i="2"/>
  <c r="D180" i="2"/>
  <c r="C182" i="2" l="1"/>
  <c r="E181" i="2"/>
  <c r="D181" i="2"/>
  <c r="C183" i="2" l="1"/>
  <c r="E182" i="2"/>
  <c r="D182" i="2"/>
  <c r="C184" i="2" l="1"/>
  <c r="E183" i="2"/>
  <c r="D183" i="2"/>
  <c r="C185" i="2" l="1"/>
  <c r="E184" i="2"/>
  <c r="D184" i="2"/>
  <c r="C186" i="2" l="1"/>
  <c r="D185" i="2"/>
  <c r="E185" i="2"/>
  <c r="C187" i="2" l="1"/>
  <c r="D186" i="2"/>
  <c r="E186" i="2"/>
  <c r="C188" i="2" l="1"/>
  <c r="E187" i="2"/>
  <c r="D187" i="2"/>
  <c r="C189" i="2" l="1"/>
  <c r="E188" i="2"/>
  <c r="D188" i="2"/>
  <c r="C190" i="2" l="1"/>
  <c r="E189" i="2"/>
  <c r="D189" i="2"/>
  <c r="C191" i="2" l="1"/>
  <c r="E190" i="2"/>
  <c r="D190" i="2"/>
  <c r="C192" i="2" l="1"/>
  <c r="E191" i="2"/>
  <c r="D191" i="2"/>
  <c r="C193" i="2" l="1"/>
  <c r="E192" i="2"/>
  <c r="D192" i="2"/>
  <c r="C194" i="2" l="1"/>
  <c r="D193" i="2"/>
  <c r="E193" i="2"/>
  <c r="C195" i="2" l="1"/>
  <c r="D194" i="2"/>
  <c r="E194" i="2"/>
  <c r="C196" i="2" l="1"/>
  <c r="E195" i="2"/>
  <c r="D195" i="2"/>
  <c r="C197" i="2" l="1"/>
  <c r="E196" i="2"/>
  <c r="D196" i="2"/>
  <c r="C198" i="2" l="1"/>
  <c r="E197" i="2"/>
  <c r="D197" i="2"/>
  <c r="C199" i="2" l="1"/>
  <c r="E198" i="2"/>
  <c r="D198" i="2"/>
  <c r="C200" i="2" l="1"/>
  <c r="E199" i="2"/>
  <c r="D199" i="2"/>
  <c r="C201" i="2" l="1"/>
  <c r="E200" i="2"/>
  <c r="D200" i="2"/>
  <c r="C202" i="2" l="1"/>
  <c r="D201" i="2"/>
  <c r="E201" i="2"/>
  <c r="C203" i="2" l="1"/>
  <c r="E202" i="2"/>
  <c r="D202" i="2"/>
  <c r="C204" i="2" l="1"/>
  <c r="E203" i="2"/>
  <c r="D203" i="2"/>
  <c r="C205" i="2" l="1"/>
  <c r="E204" i="2"/>
  <c r="D204" i="2"/>
  <c r="C206" i="2" l="1"/>
  <c r="E205" i="2"/>
  <c r="D205" i="2"/>
  <c r="C207" i="2" l="1"/>
  <c r="E206" i="2"/>
  <c r="D206" i="2"/>
  <c r="C208" i="2" l="1"/>
  <c r="E207" i="2"/>
  <c r="D207" i="2"/>
  <c r="C209" i="2" l="1"/>
  <c r="E208" i="2"/>
  <c r="D208" i="2"/>
  <c r="C210" i="2" l="1"/>
  <c r="D209" i="2"/>
  <c r="E209" i="2"/>
  <c r="C211" i="2" l="1"/>
  <c r="E210" i="2"/>
  <c r="D210" i="2"/>
  <c r="C212" i="2" l="1"/>
  <c r="E211" i="2"/>
  <c r="D211" i="2"/>
  <c r="C213" i="2" l="1"/>
  <c r="E212" i="2"/>
  <c r="D212" i="2"/>
  <c r="C214" i="2" l="1"/>
  <c r="E213" i="2"/>
  <c r="D213" i="2"/>
  <c r="C215" i="2" l="1"/>
  <c r="E214" i="2"/>
  <c r="D214" i="2"/>
  <c r="C216" i="2" l="1"/>
  <c r="E215" i="2"/>
  <c r="D215" i="2"/>
  <c r="C217" i="2" l="1"/>
  <c r="E216" i="2"/>
  <c r="D216" i="2"/>
  <c r="C218" i="2" l="1"/>
  <c r="D217" i="2"/>
  <c r="E217" i="2"/>
  <c r="C219" i="2" l="1"/>
  <c r="E218" i="2"/>
  <c r="D218" i="2"/>
  <c r="C220" i="2" l="1"/>
  <c r="E219" i="2"/>
  <c r="D219" i="2"/>
  <c r="C221" i="2" l="1"/>
  <c r="E220" i="2"/>
  <c r="D220" i="2"/>
  <c r="C222" i="2" l="1"/>
  <c r="E221" i="2"/>
  <c r="D221" i="2"/>
  <c r="C223" i="2" l="1"/>
  <c r="E222" i="2"/>
  <c r="D222" i="2"/>
  <c r="C224" i="2" l="1"/>
  <c r="E223" i="2"/>
  <c r="D223" i="2"/>
  <c r="C225" i="2" l="1"/>
  <c r="E224" i="2"/>
  <c r="D224" i="2"/>
  <c r="C226" i="2" l="1"/>
  <c r="D225" i="2"/>
  <c r="E225" i="2"/>
  <c r="C227" i="2" l="1"/>
  <c r="D226" i="2"/>
  <c r="E226" i="2"/>
  <c r="C228" i="2" l="1"/>
  <c r="E227" i="2"/>
  <c r="D227" i="2"/>
  <c r="C229" i="2" l="1"/>
  <c r="E228" i="2"/>
  <c r="D228" i="2"/>
  <c r="C230" i="2" l="1"/>
  <c r="E229" i="2"/>
  <c r="D229" i="2"/>
  <c r="C231" i="2" l="1"/>
  <c r="E230" i="2"/>
  <c r="D230" i="2"/>
  <c r="C232" i="2" l="1"/>
  <c r="E231" i="2"/>
  <c r="D231" i="2"/>
  <c r="C233" i="2" l="1"/>
  <c r="E232" i="2"/>
  <c r="D232" i="2"/>
  <c r="C234" i="2" l="1"/>
  <c r="D233" i="2"/>
  <c r="E233" i="2"/>
  <c r="C235" i="2" l="1"/>
  <c r="E234" i="2"/>
  <c r="D234" i="2"/>
  <c r="C236" i="2" l="1"/>
  <c r="E235" i="2"/>
  <c r="D235" i="2"/>
  <c r="C237" i="2" l="1"/>
  <c r="E236" i="2"/>
  <c r="D236" i="2"/>
  <c r="C238" i="2" l="1"/>
  <c r="E237" i="2"/>
  <c r="D237" i="2"/>
  <c r="C239" i="2" l="1"/>
  <c r="E238" i="2"/>
  <c r="D238" i="2"/>
  <c r="C240" i="2" l="1"/>
  <c r="E239" i="2"/>
  <c r="D239" i="2"/>
  <c r="C241" i="2" l="1"/>
  <c r="E240" i="2"/>
  <c r="D240" i="2"/>
  <c r="C242" i="2" l="1"/>
  <c r="D241" i="2"/>
  <c r="E241" i="2"/>
  <c r="C243" i="2" l="1"/>
  <c r="E242" i="2"/>
  <c r="D242" i="2"/>
  <c r="C244" i="2" l="1"/>
  <c r="E243" i="2"/>
  <c r="D243" i="2"/>
  <c r="C245" i="2" l="1"/>
  <c r="E244" i="2"/>
  <c r="D244" i="2"/>
  <c r="C246" i="2" l="1"/>
  <c r="E245" i="2"/>
  <c r="D245" i="2"/>
  <c r="C247" i="2" l="1"/>
  <c r="E246" i="2"/>
  <c r="D246" i="2"/>
  <c r="C248" i="2" l="1"/>
  <c r="E247" i="2"/>
  <c r="D247" i="2"/>
  <c r="C249" i="2" l="1"/>
  <c r="E248" i="2"/>
  <c r="D248" i="2"/>
  <c r="C250" i="2" l="1"/>
  <c r="D249" i="2"/>
  <c r="E249" i="2"/>
  <c r="C251" i="2" l="1"/>
  <c r="D250" i="2"/>
  <c r="E250" i="2"/>
  <c r="C252" i="2" l="1"/>
  <c r="E251" i="2"/>
  <c r="D251" i="2"/>
  <c r="C253" i="2" l="1"/>
  <c r="E252" i="2"/>
  <c r="D252" i="2"/>
  <c r="C254" i="2" l="1"/>
  <c r="E253" i="2"/>
  <c r="D253" i="2"/>
  <c r="C255" i="2" l="1"/>
  <c r="E254" i="2"/>
  <c r="D254" i="2"/>
  <c r="C256" i="2" l="1"/>
  <c r="E255" i="2"/>
  <c r="D255" i="2"/>
  <c r="C257" i="2" l="1"/>
  <c r="E256" i="2"/>
  <c r="D256" i="2"/>
  <c r="C258" i="2" l="1"/>
  <c r="D257" i="2"/>
  <c r="E257" i="2"/>
  <c r="C259" i="2" l="1"/>
  <c r="E258" i="2"/>
  <c r="D258" i="2"/>
  <c r="C260" i="2" l="1"/>
  <c r="E259" i="2"/>
  <c r="D259" i="2"/>
  <c r="C261" i="2" l="1"/>
  <c r="E260" i="2"/>
  <c r="D260" i="2"/>
  <c r="C262" i="2" l="1"/>
  <c r="E261" i="2"/>
  <c r="D261" i="2"/>
  <c r="C263" i="2" l="1"/>
  <c r="E262" i="2"/>
  <c r="D262" i="2"/>
  <c r="C264" i="2" l="1"/>
  <c r="E263" i="2"/>
  <c r="D263" i="2"/>
  <c r="C265" i="2" l="1"/>
  <c r="E264" i="2"/>
  <c r="D264" i="2"/>
  <c r="C266" i="2" l="1"/>
  <c r="D265" i="2"/>
  <c r="E265" i="2"/>
  <c r="C267" i="2" l="1"/>
  <c r="E266" i="2"/>
  <c r="D266" i="2"/>
  <c r="C268" i="2" l="1"/>
  <c r="E267" i="2"/>
  <c r="D267" i="2"/>
  <c r="C269" i="2" l="1"/>
  <c r="E268" i="2"/>
  <c r="D268" i="2"/>
  <c r="C270" i="2" l="1"/>
  <c r="E269" i="2"/>
  <c r="D269" i="2"/>
  <c r="C271" i="2" l="1"/>
  <c r="E270" i="2"/>
  <c r="D270" i="2"/>
  <c r="C272" i="2" l="1"/>
  <c r="E271" i="2"/>
  <c r="D271" i="2"/>
  <c r="C273" i="2" l="1"/>
  <c r="E272" i="2"/>
  <c r="D272" i="2"/>
  <c r="C274" i="2" l="1"/>
  <c r="D273" i="2"/>
  <c r="E273" i="2"/>
  <c r="C275" i="2" l="1"/>
  <c r="E274" i="2"/>
  <c r="D274" i="2"/>
  <c r="C276" i="2" l="1"/>
  <c r="E275" i="2"/>
  <c r="D275" i="2"/>
  <c r="C277" i="2" l="1"/>
  <c r="E276" i="2"/>
  <c r="D276" i="2"/>
  <c r="C278" i="2" l="1"/>
  <c r="E277" i="2"/>
  <c r="D277" i="2"/>
  <c r="C279" i="2" l="1"/>
  <c r="E278" i="2"/>
  <c r="D278" i="2"/>
  <c r="C280" i="2" l="1"/>
  <c r="E279" i="2"/>
  <c r="D279" i="2"/>
  <c r="C281" i="2" l="1"/>
  <c r="E280" i="2"/>
  <c r="D280" i="2"/>
  <c r="C282" i="2" l="1"/>
  <c r="D281" i="2"/>
  <c r="E281" i="2"/>
  <c r="C283" i="2" l="1"/>
  <c r="D282" i="2"/>
  <c r="E282" i="2"/>
  <c r="C284" i="2" l="1"/>
  <c r="E283" i="2"/>
  <c r="D283" i="2"/>
  <c r="C285" i="2" l="1"/>
  <c r="E284" i="2"/>
  <c r="D284" i="2"/>
  <c r="C286" i="2" l="1"/>
  <c r="E285" i="2"/>
  <c r="D285" i="2"/>
  <c r="C287" i="2" l="1"/>
  <c r="E286" i="2"/>
  <c r="D286" i="2"/>
  <c r="C288" i="2" l="1"/>
  <c r="E287" i="2"/>
  <c r="D287" i="2"/>
  <c r="C289" i="2" l="1"/>
  <c r="E288" i="2"/>
  <c r="D288" i="2"/>
  <c r="C290" i="2" l="1"/>
  <c r="D289" i="2"/>
  <c r="E289" i="2"/>
  <c r="C291" i="2" l="1"/>
  <c r="D290" i="2"/>
  <c r="E290" i="2"/>
  <c r="C292" i="2" l="1"/>
  <c r="E291" i="2"/>
  <c r="D291" i="2"/>
  <c r="C293" i="2" l="1"/>
  <c r="E292" i="2"/>
  <c r="D292" i="2"/>
  <c r="C294" i="2" l="1"/>
  <c r="E293" i="2"/>
  <c r="D293" i="2"/>
  <c r="C295" i="2" l="1"/>
  <c r="E294" i="2"/>
  <c r="D294" i="2"/>
  <c r="C296" i="2" l="1"/>
  <c r="E295" i="2"/>
  <c r="D295" i="2"/>
  <c r="C297" i="2" l="1"/>
  <c r="E296" i="2"/>
  <c r="D296" i="2"/>
  <c r="C298" i="2" l="1"/>
  <c r="D297" i="2"/>
  <c r="E297" i="2"/>
  <c r="C299" i="2" l="1"/>
  <c r="D298" i="2"/>
  <c r="E298" i="2"/>
  <c r="C300" i="2" l="1"/>
  <c r="E299" i="2"/>
  <c r="D299" i="2"/>
  <c r="C301" i="2" l="1"/>
  <c r="E300" i="2"/>
  <c r="D300" i="2"/>
  <c r="C302" i="2" l="1"/>
  <c r="E301" i="2"/>
  <c r="D301" i="2"/>
  <c r="C303" i="2" l="1"/>
  <c r="E302" i="2"/>
  <c r="D302" i="2"/>
  <c r="C304" i="2" l="1"/>
  <c r="E303" i="2"/>
  <c r="D303" i="2"/>
  <c r="C305" i="2" l="1"/>
  <c r="E304" i="2"/>
  <c r="D304" i="2"/>
  <c r="C306" i="2" l="1"/>
  <c r="D305" i="2"/>
  <c r="E305" i="2"/>
  <c r="C307" i="2" l="1"/>
  <c r="E306" i="2"/>
  <c r="D306" i="2"/>
  <c r="C308" i="2" l="1"/>
  <c r="E307" i="2"/>
  <c r="D307" i="2"/>
  <c r="C309" i="2" l="1"/>
  <c r="E308" i="2"/>
  <c r="D308" i="2"/>
  <c r="C310" i="2" l="1"/>
  <c r="E309" i="2"/>
  <c r="D309" i="2"/>
  <c r="C311" i="2" l="1"/>
  <c r="E310" i="2"/>
  <c r="D310" i="2"/>
  <c r="C312" i="2" l="1"/>
  <c r="E311" i="2"/>
  <c r="D311" i="2"/>
  <c r="C313" i="2" l="1"/>
  <c r="E312" i="2"/>
  <c r="D312" i="2"/>
  <c r="C314" i="2" l="1"/>
  <c r="D313" i="2"/>
  <c r="E313" i="2"/>
  <c r="C315" i="2" l="1"/>
  <c r="D314" i="2"/>
  <c r="E314" i="2"/>
  <c r="C316" i="2" l="1"/>
  <c r="E315" i="2"/>
  <c r="D315" i="2"/>
  <c r="C317" i="2" l="1"/>
  <c r="E316" i="2"/>
  <c r="D316" i="2"/>
  <c r="C318" i="2" l="1"/>
  <c r="D317" i="2"/>
  <c r="E317" i="2"/>
  <c r="C319" i="2" l="1"/>
  <c r="E318" i="2"/>
  <c r="D318" i="2"/>
  <c r="C320" i="2" l="1"/>
  <c r="E319" i="2"/>
  <c r="D319" i="2"/>
  <c r="C321" i="2" l="1"/>
  <c r="E320" i="2"/>
  <c r="D320" i="2"/>
  <c r="C322" i="2" l="1"/>
  <c r="E321" i="2"/>
  <c r="D321" i="2"/>
  <c r="C323" i="2" l="1"/>
  <c r="E322" i="2"/>
  <c r="D322" i="2"/>
  <c r="C324" i="2" l="1"/>
  <c r="E323" i="2"/>
  <c r="D323" i="2"/>
  <c r="C325" i="2" l="1"/>
  <c r="E324" i="2"/>
  <c r="D324" i="2"/>
  <c r="C326" i="2" l="1"/>
  <c r="D325" i="2"/>
  <c r="E325" i="2"/>
  <c r="C327" i="2" l="1"/>
  <c r="E326" i="2"/>
  <c r="D326" i="2"/>
  <c r="C328" i="2" l="1"/>
  <c r="E327" i="2"/>
  <c r="D327" i="2"/>
  <c r="C329" i="2" l="1"/>
  <c r="E328" i="2"/>
  <c r="D328" i="2"/>
  <c r="C330" i="2" l="1"/>
  <c r="E329" i="2"/>
  <c r="D329" i="2"/>
  <c r="C331" i="2" l="1"/>
  <c r="D330" i="2"/>
  <c r="E330" i="2"/>
  <c r="C332" i="2" l="1"/>
  <c r="E331" i="2"/>
  <c r="D331" i="2"/>
  <c r="C333" i="2" l="1"/>
  <c r="E332" i="2"/>
  <c r="D332" i="2"/>
  <c r="C334" i="2" l="1"/>
  <c r="D333" i="2"/>
  <c r="E333" i="2"/>
  <c r="C335" i="2" l="1"/>
  <c r="E334" i="2"/>
  <c r="D334" i="2"/>
  <c r="C336" i="2" l="1"/>
  <c r="E335" i="2"/>
  <c r="D335" i="2"/>
  <c r="C337" i="2" l="1"/>
  <c r="E336" i="2"/>
  <c r="D336" i="2"/>
  <c r="C338" i="2" l="1"/>
  <c r="E337" i="2"/>
  <c r="D337" i="2"/>
  <c r="C339" i="2" l="1"/>
  <c r="E338" i="2"/>
  <c r="D338" i="2"/>
  <c r="C340" i="2" l="1"/>
  <c r="E339" i="2"/>
  <c r="D339" i="2"/>
  <c r="C341" i="2" l="1"/>
  <c r="E340" i="2"/>
  <c r="D340" i="2"/>
  <c r="C342" i="2" l="1"/>
  <c r="E341" i="2"/>
  <c r="D341" i="2"/>
  <c r="C343" i="2" l="1"/>
  <c r="E342" i="2"/>
  <c r="D342" i="2"/>
  <c r="C344" i="2" l="1"/>
  <c r="E343" i="2"/>
  <c r="D343" i="2"/>
  <c r="C345" i="2" l="1"/>
  <c r="E344" i="2"/>
  <c r="D344" i="2"/>
  <c r="C346" i="2" l="1"/>
  <c r="E345" i="2"/>
  <c r="D345" i="2"/>
  <c r="C347" i="2" l="1"/>
  <c r="E346" i="2"/>
  <c r="D346" i="2"/>
  <c r="E347" i="2" l="1"/>
  <c r="D347" i="2"/>
  <c r="C348" i="2"/>
  <c r="C349" i="2" l="1"/>
  <c r="E348" i="2"/>
  <c r="D348" i="2"/>
  <c r="D349" i="2" l="1"/>
  <c r="E349" i="2"/>
  <c r="C350" i="2"/>
  <c r="D350" i="2" l="1"/>
  <c r="E350" i="2"/>
  <c r="C351" i="2"/>
  <c r="C352" i="2" l="1"/>
  <c r="D351" i="2"/>
  <c r="E351" i="2"/>
  <c r="E352" i="2" l="1"/>
  <c r="C353" i="2"/>
  <c r="D352" i="2"/>
  <c r="C354" i="2" l="1"/>
  <c r="D353" i="2"/>
  <c r="E353" i="2"/>
  <c r="E354" i="2" l="1"/>
  <c r="C355" i="2"/>
  <c r="D354" i="2"/>
  <c r="C356" i="2" l="1"/>
  <c r="E355" i="2"/>
  <c r="D355" i="2"/>
  <c r="C357" i="2" l="1"/>
  <c r="E356" i="2"/>
  <c r="D356" i="2"/>
  <c r="D357" i="2" l="1"/>
  <c r="C358" i="2"/>
  <c r="E357" i="2"/>
  <c r="E358" i="2" l="1"/>
  <c r="C359" i="2"/>
  <c r="D358" i="2"/>
  <c r="D359" i="2" l="1"/>
  <c r="C360" i="2"/>
  <c r="E359" i="2"/>
  <c r="D360" i="2" l="1"/>
  <c r="E360" i="2"/>
  <c r="C361" i="2"/>
  <c r="E361" i="2" l="1"/>
  <c r="C362" i="2"/>
  <c r="D361" i="2"/>
  <c r="C363" i="2" l="1"/>
  <c r="E362" i="2"/>
  <c r="D362" i="2"/>
  <c r="D363" i="2" l="1"/>
  <c r="E363" i="2"/>
  <c r="C364" i="2"/>
  <c r="E364" i="2" l="1"/>
  <c r="C365" i="2"/>
  <c r="D364" i="2"/>
  <c r="C366" i="2" l="1"/>
  <c r="D365" i="2"/>
  <c r="E365" i="2"/>
  <c r="D366" i="2" l="1"/>
  <c r="E366" i="2"/>
  <c r="C367" i="2"/>
  <c r="C368" i="2" l="1"/>
  <c r="E367" i="2"/>
  <c r="D367" i="2"/>
  <c r="D7" i="2" l="1"/>
  <c r="E7" i="2"/>
  <c r="E2" i="2"/>
  <c r="D2" i="2"/>
  <c r="D368" i="2"/>
  <c r="E36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1FD5D6-6BE6-471B-B26E-5A6737F04876}" name="Query - exercise_data" description="Connection to the 'exercise_data' query in the workbook." type="100" refreshedVersion="8" minRefreshableVersion="5" refreshOnLoad="1" saveData="1">
    <extLst>
      <ext xmlns:x15="http://schemas.microsoft.com/office/spreadsheetml/2010/11/main" uri="{DE250136-89BD-433C-8126-D09CA5730AF9}">
        <x15:connection id="5b43eb41-2414-48e1-9ec5-b0cc3f259400"/>
      </ext>
    </extLst>
  </connection>
  <connection id="2" xr16:uid="{4B89FFE7-E59C-44AB-BF8D-8653006C6DA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B157336D-1122-4CB2-BC32-613AC78C2997}" name="WorksheetConnection_shoe_test.xlsm!exercise_data" type="102" refreshedVersion="8" minRefreshableVersion="5">
    <extLst>
      <ext xmlns:x15="http://schemas.microsoft.com/office/spreadsheetml/2010/11/main" uri="{DE250136-89BD-433C-8126-D09CA5730AF9}">
        <x15:connection id="exercise_data">
          <x15:rangePr sourceName="_xlcn.WorksheetConnection_shoe_test.xlsmexercise_data1"/>
        </x15:connection>
      </ext>
    </extLst>
  </connection>
</connections>
</file>

<file path=xl/sharedStrings.xml><?xml version="1.0" encoding="utf-8"?>
<sst xmlns="http://schemas.openxmlformats.org/spreadsheetml/2006/main" count="55" uniqueCount="44">
  <si>
    <t>total km</t>
  </si>
  <si>
    <t>n</t>
  </si>
  <si>
    <t>s2</t>
  </si>
  <si>
    <t>shoe</t>
  </si>
  <si>
    <t>letter</t>
  </si>
  <si>
    <t>date</t>
  </si>
  <si>
    <t>total time</t>
  </si>
  <si>
    <t>time values</t>
  </si>
  <si>
    <t>notes</t>
  </si>
  <si>
    <t>pace avg</t>
  </si>
  <si>
    <t>rpe</t>
  </si>
  <si>
    <t>distance</t>
  </si>
  <si>
    <t>pace calc</t>
  </si>
  <si>
    <t>pace format</t>
  </si>
  <si>
    <t>pace</t>
  </si>
  <si>
    <t>1:06:53</t>
  </si>
  <si>
    <t>0:32:23</t>
  </si>
  <si>
    <t>0:30:46</t>
  </si>
  <si>
    <t>very easy jog</t>
  </si>
  <si>
    <t>progressive easy run</t>
  </si>
  <si>
    <t>temp</t>
  </si>
  <si>
    <t>hr max</t>
  </si>
  <si>
    <t>hr avg</t>
  </si>
  <si>
    <t>time</t>
  </si>
  <si>
    <t>0:53:34</t>
  </si>
  <si>
    <t>0:57:27</t>
  </si>
  <si>
    <t>tempo run</t>
  </si>
  <si>
    <t>fartlek 2ks</t>
  </si>
  <si>
    <t>missclick</t>
  </si>
  <si>
    <t>weekly</t>
  </si>
  <si>
    <t>Total</t>
  </si>
  <si>
    <t>week</t>
  </si>
  <si>
    <t>weekly distance</t>
  </si>
  <si>
    <t>weekly time</t>
  </si>
  <si>
    <t>..</t>
  </si>
  <si>
    <t>id</t>
  </si>
  <si>
    <t>first run back, easy</t>
  </si>
  <si>
    <t>hurt little less</t>
  </si>
  <si>
    <t>difficulty with other leg</t>
  </si>
  <si>
    <t>2k fast (4-4:15), 2k slow(5) leg hurts</t>
  </si>
  <si>
    <t>0:58:09</t>
  </si>
  <si>
    <t>progressive run</t>
  </si>
  <si>
    <t>felt good, strong hips, arms more vertical and close</t>
  </si>
  <si>
    <t>Monday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</si>
</sst>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sz val="10"/>
      <color theme="1"/>
      <name val="Arial Unicode MS"/>
    </font>
    <font>
      <sz val="11"/>
      <color theme="1" tint="0.34998626667073579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2" tint="-0.49998474074526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 wrapText="1"/>
    </xf>
    <xf numFmtId="46" fontId="0" fillId="0" borderId="0" xfId="0" applyNumberFormat="1"/>
    <xf numFmtId="2" fontId="0" fillId="0" borderId="0" xfId="0" applyNumberFormat="1"/>
    <xf numFmtId="45" fontId="0" fillId="0" borderId="0" xfId="0" applyNumberFormat="1"/>
    <xf numFmtId="0" fontId="1" fillId="0" borderId="1" xfId="0" pivotButton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5" fontId="0" fillId="0" borderId="0" xfId="0" applyNumberFormat="1" applyAlignment="1">
      <alignment horizontal="right"/>
    </xf>
    <xf numFmtId="46" fontId="0" fillId="0" borderId="0" xfId="0" applyNumberFormat="1" applyAlignment="1">
      <alignment horizontal="right"/>
    </xf>
    <xf numFmtId="16" fontId="0" fillId="0" borderId="0" xfId="0" applyNumberFormat="1"/>
    <xf numFmtId="16" fontId="0" fillId="0" borderId="0" xfId="0" applyNumberFormat="1" applyAlignment="1">
      <alignment horizontal="right"/>
    </xf>
    <xf numFmtId="0" fontId="3" fillId="0" borderId="0" xfId="0" applyFont="1" applyAlignment="1">
      <alignment vertical="center"/>
    </xf>
    <xf numFmtId="14" fontId="0" fillId="0" borderId="0" xfId="0" applyNumberFormat="1"/>
    <xf numFmtId="16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vertical="center" wrapText="1"/>
    </xf>
    <xf numFmtId="46" fontId="0" fillId="0" borderId="0" xfId="0" applyNumberFormat="1" applyAlignment="1">
      <alignment horizontal="center"/>
    </xf>
    <xf numFmtId="0" fontId="4" fillId="0" borderId="0" xfId="0" pivotButton="1" applyFont="1" applyAlignment="1">
      <alignment horizontal="center" vertical="center"/>
    </xf>
    <xf numFmtId="0" fontId="5" fillId="0" borderId="0" xfId="1"/>
    <xf numFmtId="0" fontId="0" fillId="0" borderId="0" xfId="0" applyAlignment="1">
      <alignment shrinkToFit="1"/>
    </xf>
    <xf numFmtId="0" fontId="4" fillId="0" borderId="0" xfId="0" applyFont="1" applyAlignment="1">
      <alignment horizontal="center" vertical="center" wrapText="1"/>
    </xf>
    <xf numFmtId="0" fontId="6" fillId="0" borderId="0" xfId="0" pivotButton="1" applyFont="1" applyAlignment="1">
      <alignment horizontal="center" vertical="center"/>
    </xf>
    <xf numFmtId="1" fontId="0" fillId="0" borderId="0" xfId="0" applyNumberFormat="1" applyAlignment="1">
      <alignment horizontal="right"/>
    </xf>
    <xf numFmtId="0" fontId="0" fillId="3" borderId="0" xfId="0" applyFill="1"/>
    <xf numFmtId="0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62">
    <dxf>
      <fill>
        <patternFill>
          <bgColor theme="0" tint="-0.499984740745262"/>
        </patternFill>
      </fill>
    </dxf>
    <dxf>
      <font>
        <color rgb="FF9C0006"/>
      </font>
    </dxf>
    <dxf>
      <font>
        <color rgb="FF9C0006"/>
      </font>
    </dxf>
    <dxf>
      <fill>
        <patternFill>
          <bgColor theme="0" tint="-0.499984740745262"/>
        </patternFill>
      </fill>
    </dxf>
    <dxf>
      <font>
        <color rgb="FF9C0006"/>
      </font>
    </dxf>
    <dxf>
      <font>
        <color rgb="FF9C0006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alignment horizontal="right"/>
    </dxf>
    <dxf>
      <numFmt numFmtId="21" formatCode="d\-mmm"/>
    </dxf>
    <dxf>
      <numFmt numFmtId="21" formatCode="d\-mmm"/>
    </dxf>
    <dxf>
      <alignment horizontal="center"/>
    </dxf>
    <dxf>
      <alignment vertical="center"/>
    </dxf>
    <dxf>
      <font>
        <color theme="1" tint="0.14999847407452621"/>
      </font>
    </dxf>
    <dxf>
      <numFmt numFmtId="1" formatCode="0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theme="1" tint="0.34998626667073579"/>
      </font>
    </dxf>
    <dxf>
      <font>
        <color theme="1" tint="0.34998626667073579"/>
      </font>
    </dxf>
    <dxf>
      <numFmt numFmtId="31" formatCode="[h]:mm:ss"/>
    </dxf>
    <dxf>
      <numFmt numFmtId="21" formatCode="d\-mmm"/>
    </dxf>
    <dxf>
      <numFmt numFmtId="21" formatCode="d\-mmm"/>
    </dxf>
    <dxf>
      <numFmt numFmtId="31" formatCode="[h]:mm:ss"/>
    </dxf>
    <dxf>
      <numFmt numFmtId="31" formatCode="[h]:mm:ss"/>
    </dxf>
    <dxf>
      <numFmt numFmtId="1" formatCode="0"/>
    </dxf>
    <dxf>
      <font>
        <color theme="1" tint="0.14999847407452621"/>
      </font>
    </dxf>
    <dxf>
      <alignment vertical="center"/>
    </dxf>
    <dxf>
      <alignment horizontal="center"/>
    </dxf>
    <dxf>
      <numFmt numFmtId="21" formatCode="d\-mmm"/>
    </dxf>
    <dxf>
      <numFmt numFmtId="21" formatCode="d\-mmm"/>
    </dxf>
    <dxf>
      <alignment horizontal="right"/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53DAFF"/>
      <color rgb="FF29F0FF"/>
      <color rgb="FFFF4B4B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pivotCacheDefinition" Target="pivotCache/pivotCacheDefinition2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kari" refreshedDate="45510.516108101852" createdVersion="8" refreshedVersion="8" minRefreshableVersion="3" recordCount="346" xr:uid="{99341403-9B14-42E8-B931-1C67E651FC67}">
  <cacheSource type="worksheet">
    <worksheetSource ref="C1:E347" sheet="2024ds"/>
  </cacheSource>
  <cacheFields count="3">
    <cacheField name="weekly" numFmtId="14">
      <sharedItems containsDate="1" containsMixedTypes="1" minDate="2024-07-22T00:00:00" maxDate="2024-08-06T00:00:00" count="3">
        <d v="2024-07-22T00:00:00"/>
        <d v="2024-08-05T00:00:00"/>
        <s v=""/>
      </sharedItems>
    </cacheField>
    <cacheField name="distance" numFmtId="0">
      <sharedItems containsMixedTypes="1" containsNumber="1" minValue="12.01" maxValue="48.17"/>
    </cacheField>
    <cacheField name="time" numFmtId="46">
      <sharedItems containsDate="1" containsMixedTypes="1" minDate="1899-12-30T00:58:09" maxDate="1899-12-30T04:01: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i Sulkakoski" refreshedDate="45512.293132638886" backgroundQuery="1" createdVersion="8" refreshedVersion="8" minRefreshableVersion="3" recordCount="0" supportSubquery="1" supportAdvancedDrill="1" xr:uid="{D0D68077-E229-4D0D-8EFC-D85568BAD73B}">
  <cacheSource type="external" connectionId="2"/>
  <cacheFields count="7">
    <cacheField name="[exercise_data 1].[duration].[duration]" caption="duration" numFmtId="0" hierarchy="10" level="1">
      <sharedItems count="6">
        <s v="1:06:53"/>
        <s v="0:32:23"/>
        <s v="0:30:46"/>
        <s v="0:53:34"/>
        <s v="0:57:27"/>
        <s v="0:58:09"/>
      </sharedItems>
    </cacheField>
    <cacheField name="[exercise_data 1].[date].[date]" caption="date" numFmtId="0" hierarchy="9" level="1">
      <sharedItems containsSemiMixedTypes="0" containsNonDate="0" containsDate="1" containsString="0" minDate="2024-07-22T00:00:00" maxDate="2024-08-07T00:00:00" count="5">
        <d v="2024-07-22T00:00:00"/>
        <d v="2024-07-23T00:00:00"/>
        <d v="2024-07-24T00:00:00"/>
        <d v="2024-07-25T00:00:00"/>
        <d v="2024-08-06T00:00:00"/>
      </sharedItems>
    </cacheField>
    <cacheField name="[Measures].[Sum of distance]" caption="Sum of distance" numFmtId="0" hierarchy="20" level="32767"/>
    <cacheField name="[Measures].[Average of temperature]" caption="Average of temperature" numFmtId="0" hierarchy="25" level="32767"/>
    <cacheField name="[Measures].[Max of hr_max]" caption="Max of hr_max" numFmtId="0" hierarchy="26" level="32767"/>
    <cacheField name="[Measures].[Average of hr_avg]" caption="Average of hr_avg" numFmtId="0" hierarchy="27" level="32767"/>
    <cacheField name="[exercise_data 1].[session_id].[session_id]" caption="session_id" numFmtId="0" hierarchy="8" level="1">
      <sharedItems containsSemiMixedTypes="0" containsString="0" containsNumber="1" containsInteger="1" minValue="23" maxValue="28" count="6">
        <n v="23"/>
        <n v="24"/>
        <n v="25"/>
        <n v="26"/>
        <n v="27"/>
        <n v="28"/>
      </sharedItems>
    </cacheField>
  </cacheFields>
  <cacheHierarchies count="29">
    <cacheHierarchy uniqueName="[exercise_data].[session_id]" caption="session_id" attribute="1" defaultMemberUniqueName="[exercise_data].[session_id].[All]" allUniqueName="[exercise_data].[session_id].[All]" dimensionUniqueName="[exercise_data]" displayFolder="" count="0" memberValueDatatype="20" unbalanced="0"/>
    <cacheHierarchy uniqueName="[exercise_data].[date]" caption="date" attribute="1" defaultMemberUniqueName="[exercise_data].[date].[All]" allUniqueName="[exercise_data].[date].[All]" dimensionUniqueName="[exercise_data]" displayFolder="" count="0" memberValueDatatype="130" unbalanced="0"/>
    <cacheHierarchy uniqueName="[exercise_data].[duration]" caption="duration" attribute="1" defaultMemberUniqueName="[exercise_data].[duration].[All]" allUniqueName="[exercise_data].[duration].[All]" dimensionUniqueName="[exercise_data]" displayFolder="" count="0" memberValueDatatype="130" unbalanced="0"/>
    <cacheHierarchy uniqueName="[exercise_data].[distance]" caption="distance" attribute="1" defaultMemberUniqueName="[exercise_data].[distance].[All]" allUniqueName="[exercise_data].[distance].[All]" dimensionUniqueName="[exercise_data]" displayFolder="" count="0" memberValueDatatype="5" unbalanced="0"/>
    <cacheHierarchy uniqueName="[exercise_data].[hr_avg]" caption="hr_avg" attribute="1" defaultMemberUniqueName="[exercise_data].[hr_avg].[All]" allUniqueName="[exercise_data].[hr_avg].[All]" dimensionUniqueName="[exercise_data]" displayFolder="" count="0" memberValueDatatype="20" unbalanced="0"/>
    <cacheHierarchy uniqueName="[exercise_data].[hr_max]" caption="hr_max" attribute="1" defaultMemberUniqueName="[exercise_data].[hr_max].[All]" allUniqueName="[exercise_data].[hr_max].[All]" dimensionUniqueName="[exercise_data]" displayFolder="" count="0" memberValueDatatype="20" unbalanced="0"/>
    <cacheHierarchy uniqueName="[exercise_data].[temperature]" caption="temperature" attribute="1" defaultMemberUniqueName="[exercise_data].[temperature].[All]" allUniqueName="[exercise_data].[temperature].[All]" dimensionUniqueName="[exercise_data]" displayFolder="" count="0" memberValueDatatype="20" unbalanced="0"/>
    <cacheHierarchy uniqueName="[exercise_data].[timestamp]" caption="timestamp" attribute="1" defaultMemberUniqueName="[exercise_data].[timestamp].[All]" allUniqueName="[exercise_data].[timestamp].[All]" dimensionUniqueName="[exercise_data]" displayFolder="" count="0" memberValueDatatype="130" unbalanced="0"/>
    <cacheHierarchy uniqueName="[exercise_data 1].[session_id]" caption="session_id" attribute="1" defaultMemberUniqueName="[exercise_data 1].[session_id].[All]" allUniqueName="[exercise_data 1].[session_id].[All]" dimensionUniqueName="[exercise_data 1]" displayFolder="" count="2" memberValueDatatype="5" unbalanced="0">
      <fieldsUsage count="2">
        <fieldUsage x="-1"/>
        <fieldUsage x="6"/>
      </fieldsUsage>
    </cacheHierarchy>
    <cacheHierarchy uniqueName="[exercise_data 1].[date]" caption="date" attribute="1" time="1" defaultMemberUniqueName="[exercise_data 1].[date].[All]" allUniqueName="[exercise_data 1].[date].[All]" dimensionUniqueName="[exercise_data 1]" displayFolder="" count="2" memberValueDatatype="7" unbalanced="0">
      <fieldsUsage count="2">
        <fieldUsage x="-1"/>
        <fieldUsage x="1"/>
      </fieldsUsage>
    </cacheHierarchy>
    <cacheHierarchy uniqueName="[exercise_data 1].[duration]" caption="duration" attribute="1" defaultMemberUniqueName="[exercise_data 1].[duration].[All]" allUniqueName="[exercise_data 1].[duration].[All]" dimensionUniqueName="[exercise_data 1]" displayFolder="" count="2" memberValueDatatype="130" unbalanced="0">
      <fieldsUsage count="2">
        <fieldUsage x="-1"/>
        <fieldUsage x="0"/>
      </fieldsUsage>
    </cacheHierarchy>
    <cacheHierarchy uniqueName="[exercise_data 1].[distance]" caption="distance" attribute="1" defaultMemberUniqueName="[exercise_data 1].[distance].[All]" allUniqueName="[exercise_data 1].[distance].[All]" dimensionUniqueName="[exercise_data 1]" displayFolder="" count="0" memberValueDatatype="5" unbalanced="0"/>
    <cacheHierarchy uniqueName="[exercise_data 1].[hr_avg]" caption="hr_avg" attribute="1" defaultMemberUniqueName="[exercise_data 1].[hr_avg].[All]" allUniqueName="[exercise_data 1].[hr_avg].[All]" dimensionUniqueName="[exercise_data 1]" displayFolder="" count="0" memberValueDatatype="5" unbalanced="0"/>
    <cacheHierarchy uniqueName="[exercise_data 1].[hr_max]" caption="hr_max" attribute="1" defaultMemberUniqueName="[exercise_data 1].[hr_max].[All]" allUniqueName="[exercise_data 1].[hr_max].[All]" dimensionUniqueName="[exercise_data 1]" displayFolder="" count="0" memberValueDatatype="5" unbalanced="0"/>
    <cacheHierarchy uniqueName="[exercise_data 1].[temperature]" caption="temperature" attribute="1" defaultMemberUniqueName="[exercise_data 1].[temperature].[All]" allUniqueName="[exercise_data 1].[temperature].[All]" dimensionUniqueName="[exercise_data 1]" displayFolder="" count="0" memberValueDatatype="5" unbalanced="0"/>
    <cacheHierarchy uniqueName="[exercise_data 1].[exercise_id]" caption="exercise_id" attribute="1" defaultMemberUniqueName="[exercise_data 1].[exercise_id].[All]" allUniqueName="[exercise_data 1].[exercise_id].[All]" dimensionUniqueName="[exercise_data 1]" displayFolder="" count="0" memberValueDatatype="130" unbalanced="0"/>
    <cacheHierarchy uniqueName="[Measures].[__XL_Count exercise_data]" caption="__XL_Count exercise_data" measure="1" displayFolder="" measureGroup="exercise_data" count="0" hidden="1"/>
    <cacheHierarchy uniqueName="[Measures].[__XL_Count exercise_data 1]" caption="__XL_Count exercise_data 1" measure="1" displayFolder="" measureGroup="exercise_data 1" count="0" hidden="1"/>
    <cacheHierarchy uniqueName="[Measures].[__No measures defined]" caption="__No measures defined" measure="1" displayFolder="" count="0" hidden="1"/>
    <cacheHierarchy uniqueName="[Measures].[Count of duration]" caption="Count of duration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stance]" caption="Sum of distance" measure="1" displayFolder="" measureGroup="exercise_data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r_avg]" caption="Sum of hr_avg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hr_max]" caption="Sum of hr_max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temperature]" caption="Sum of temperatur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date]" caption="Count of dat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temperature]" caption="Average of temperature" measure="1" displayFolder="" measureGroup="exercise_data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ax of hr_max]" caption="Max of hr_max" measure="1" displayFolder="" measureGroup="exercise_data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hr_avg]" caption="Average of hr_avg" measure="1" displayFolder="" measureGroup="exercise_data 1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istance 2]" caption="Sum of distance 2" measure="1" displayFolder="" measureGroup="exercise_data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name="exercise_data" uniqueName="[exercise_data]" caption="exercise_data"/>
    <dimension name="exercise_data 1" uniqueName="[exercise_data 1]" caption="exercise_data 1"/>
    <dimension measure="1" name="Measures" uniqueName="[Measures]" caption="Measures"/>
  </dimensions>
  <measureGroups count="2">
    <measureGroup name="exercise_data" caption="exercise_data"/>
    <measureGroup name="exercise_data 1" caption="exercise_data 1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6">
  <r>
    <x v="0"/>
    <n v="48.17"/>
    <d v="1899-12-30T04:01:03"/>
  </r>
  <r>
    <x v="0"/>
    <s v=""/>
    <s v=""/>
  </r>
  <r>
    <x v="0"/>
    <s v=""/>
    <s v=""/>
  </r>
  <r>
    <x v="0"/>
    <s v=""/>
    <s v=""/>
  </r>
  <r>
    <x v="0"/>
    <s v=""/>
    <s v=""/>
  </r>
  <r>
    <x v="1"/>
    <n v="12.01"/>
    <d v="1899-12-30T00:58:09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  <r>
    <x v="2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C613B1-368E-4423-9FCF-77FD57CE4186}" name="PivotTable3" cacheId="0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week">
  <location ref="M1:O4" firstHeaderRow="0" firstDataRow="1" firstDataCol="1"/>
  <pivotFields count="3">
    <pivotField axis="axisRow" numFmtId="14" showAll="0">
      <items count="4">
        <item x="0"/>
        <item x="1"/>
        <item h="1" x="2"/>
        <item t="default"/>
      </items>
    </pivotField>
    <pivotField dataField="1"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weekly distance" fld="1" baseField="0" baseItem="0"/>
    <dataField name="weekly time" fld="2" baseField="0" baseItem="0" numFmtId="46"/>
  </dataFields>
  <formats count="12">
    <format dxfId="3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38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  <format dxfId="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">
      <pivotArea field="0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field="0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field="0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F6BC4-95F6-450F-BA5C-E4BA7E591D03}" name="PivotTable2" cacheId="4" applyNumberFormats="0" applyBorderFormats="0" applyFontFormats="0" applyPatternFormats="0" applyAlignmentFormats="0" applyWidthHeightFormats="1" dataCaption="Values" grandTotalCaption="Total" tag="dc6876a9-4a7b-44ac-b0e1-f9b113ea3fcf" updatedVersion="8" minRefreshableVersion="3" showDrill="0" useAutoFormatting="1" subtotalHiddenItems="1" colGrandTotals="0" itemPrintTitles="1" createdVersion="8" indent="0" compact="0" compactData="0" multipleFieldFilters="0">
  <location ref="A1:G8" firstHeaderRow="0" firstDataRow="1" firstDataCol="3"/>
  <pivotFields count="7">
    <pivotField name="time" axis="axisRow" compact="0" allDrilled="1" outline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name="id" axis="axisRow" compact="0" allDrilled="1" outline="0" subtotalTop="0" showAll="0" sortType="ascending" defaultSubtotal="0" defaultAttributeDrillState="1">
      <items count="6">
        <item x="0"/>
        <item x="1"/>
        <item x="2"/>
        <item x="3"/>
        <item x="4"/>
        <item x="5"/>
      </items>
    </pivotField>
  </pivotFields>
  <rowFields count="3">
    <field x="1"/>
    <field x="6"/>
    <field x="0"/>
  </rowFields>
  <rowItems count="7">
    <i>
      <x/>
      <x/>
      <x/>
    </i>
    <i>
      <x v="1"/>
      <x v="1"/>
      <x v="1"/>
    </i>
    <i r="1">
      <x v="2"/>
      <x v="2"/>
    </i>
    <i>
      <x v="2"/>
      <x v="3"/>
      <x v="3"/>
    </i>
    <i>
      <x v="3"/>
      <x v="4"/>
      <x v="4"/>
    </i>
    <i>
      <x v="4"/>
      <x v="5"/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distance" fld="2" baseField="0" baseItem="0"/>
    <dataField name="hr max" fld="4" subtotal="max" baseField="0" baseItem="0"/>
    <dataField name="hr avg" fld="5" subtotal="average" baseField="0" baseItem="0"/>
    <dataField name="temp" fld="3" subtotal="average" baseField="0" baseItem="0"/>
  </dataFields>
  <formats count="22">
    <format dxfId="61">
      <pivotArea field="1" type="button" dataOnly="0" labelOnly="1" outline="0" axis="axisRow" fieldPosition="0"/>
    </format>
    <format dxfId="60">
      <pivotArea field="0" type="button" dataOnly="0" labelOnly="1" outline="0" axis="axisRow" fieldPosition="2"/>
    </format>
    <format dxfId="5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8">
      <pivotArea field="1" type="button" dataOnly="0" labelOnly="1" outline="0" axis="axisRow" fieldPosition="0"/>
    </format>
    <format dxfId="57">
      <pivotArea field="0" type="button" dataOnly="0" labelOnly="1" outline="0" axis="axisRow" fieldPosition="2"/>
    </format>
    <format dxfId="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1">
      <pivotArea field="0" type="button" dataOnly="0" labelOnly="1" outline="0" axis="axisRow" fieldPosition="2"/>
    </format>
    <format dxfId="50">
      <pivotArea field="1" type="button" dataOnly="0" labelOnly="1" outline="0" axis="axisRow" fieldPosition="0"/>
    </format>
    <format dxfId="49">
      <pivotArea field="1" type="button" dataOnly="0" labelOnly="1" outline="0" axis="axisRow" fieldPosition="0"/>
    </format>
    <format dxfId="48">
      <pivotArea field="0" type="button" dataOnly="0" labelOnly="1" outline="0" axis="axisRow" fieldPosition="2"/>
    </format>
    <format dxfId="4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6">
      <pivotArea outline="0" collapsedLevelsAreSubtotals="1" fieldPosition="0"/>
    </format>
    <format dxfId="45">
      <pivotArea dataOnly="0" labelOnly="1" outline="0" fieldPosition="0">
        <references count="1">
          <reference field="1" count="0"/>
        </references>
      </pivotArea>
    </format>
    <format dxfId="44">
      <pivotArea dataOnly="0" labelOnly="1" grandRow="1" outline="0" fieldPosition="0"/>
    </format>
    <format dxfId="43">
      <pivotArea field="6" type="button" dataOnly="0" labelOnly="1" outline="0" axis="axisRow" fieldPosition="1"/>
    </format>
    <format dxfId="42">
      <pivotArea field="6" type="button" dataOnly="0" labelOnly="1" outline="0" axis="axisRow" fieldPosition="1"/>
    </format>
    <format dxfId="41">
      <pivotArea field="6" type="button" dataOnly="0" labelOnly="1" outline="0" axis="axisRow" fieldPosition="1"/>
    </format>
    <format dxfId="40">
      <pivotArea field="1" grandRow="1" outline="0" axis="axisRow" fieldPosition="0">
        <references count="1">
          <reference field="4294967294" count="1" selected="0">
            <x v="3"/>
          </reference>
        </references>
      </pivotArea>
    </format>
  </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distance"/>
    <pivotHierarchy dragToData="1" caption="hr avg"/>
    <pivotHierarchy dragToData="1" caption="hr_max"/>
    <pivotHierarchy dragToData="1" caption="temperature"/>
    <pivotHierarchy dragToData="1"/>
    <pivotHierarchy dragToData="1" caption="temp"/>
    <pivotHierarchy dragToData="1" caption="hr max"/>
    <pivotHierarchy dragToData="1" caption="hr avg"/>
    <pivotHierarchy dragToData="1"/>
  </pivotHierarchies>
  <pivotTableStyleInfo name="PivotStyleLight20" showRowHeaders="1" showColHeaders="1" showRowStripes="1" showColStripes="0" showLastColumn="1"/>
  <rowHierarchiesUsage count="3">
    <rowHierarchyUsage hierarchyUsage="9"/>
    <rowHierarchyUsage hierarchyUsage="8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ercise_data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9E600-2B27-4B07-86A5-EEA7D11F474C}">
  <sheetPr codeName="Sheet1"/>
  <dimension ref="A1:X369"/>
  <sheetViews>
    <sheetView tabSelected="1" zoomScale="85" zoomScaleNormal="85" workbookViewId="0">
      <selection activeCell="K10" sqref="K10"/>
    </sheetView>
  </sheetViews>
  <sheetFormatPr defaultColWidth="9.28515625" defaultRowHeight="15"/>
  <cols>
    <col min="1" max="1" width="10.28515625" style="13" customWidth="1"/>
    <col min="2" max="2" width="5.7109375" style="14" customWidth="1"/>
    <col min="3" max="3" width="10.42578125" style="3" bestFit="1" customWidth="1"/>
    <col min="4" max="4" width="8.7109375" bestFit="1" customWidth="1"/>
    <col min="5" max="5" width="7" bestFit="1" customWidth="1"/>
    <col min="6" max="6" width="6.28515625" bestFit="1" customWidth="1"/>
    <col min="7" max="7" width="5.7109375" bestFit="1" customWidth="1"/>
    <col min="8" max="8" width="6.85546875" customWidth="1"/>
    <col min="9" max="9" width="7.5703125" customWidth="1"/>
    <col min="11" max="11" width="21.85546875" style="22" customWidth="1"/>
    <col min="12" max="12" width="10.7109375" bestFit="1" customWidth="1"/>
    <col min="13" max="13" width="10.5703125" customWidth="1"/>
    <col min="14" max="14" width="8.28515625" style="3" bestFit="1" customWidth="1"/>
    <col min="15" max="15" width="7.28515625" bestFit="1" customWidth="1"/>
    <col min="16" max="16" width="12.42578125" customWidth="1"/>
    <col min="17" max="17" width="8.7109375" customWidth="1"/>
    <col min="18" max="18" width="7.28515625" bestFit="1" customWidth="1"/>
    <col min="19" max="19" width="7.140625" customWidth="1"/>
    <col min="20" max="20" width="9.28515625" customWidth="1"/>
    <col min="21" max="21" width="9.28515625" style="3" hidden="1" customWidth="1"/>
    <col min="22" max="22" width="10.140625" hidden="1" customWidth="1"/>
    <col min="23" max="23" width="9.28515625" style="5" hidden="1" customWidth="1"/>
    <col min="24" max="24" width="9.28515625" hidden="1" customWidth="1"/>
  </cols>
  <sheetData>
    <row r="1" spans="1:24" ht="45">
      <c r="A1" s="6" t="s">
        <v>5</v>
      </c>
      <c r="B1" s="24" t="s">
        <v>35</v>
      </c>
      <c r="C1" s="6" t="s">
        <v>23</v>
      </c>
      <c r="D1" s="7" t="s">
        <v>11</v>
      </c>
      <c r="E1" s="7" t="s">
        <v>21</v>
      </c>
      <c r="F1" s="7" t="s">
        <v>22</v>
      </c>
      <c r="G1" s="7" t="s">
        <v>20</v>
      </c>
      <c r="H1" s="8" t="s">
        <v>9</v>
      </c>
      <c r="I1" s="9" t="s">
        <v>10</v>
      </c>
      <c r="J1" s="9" t="s">
        <v>3</v>
      </c>
      <c r="K1" s="10" t="s">
        <v>8</v>
      </c>
      <c r="L1" s="10" t="s">
        <v>34</v>
      </c>
      <c r="M1" s="20" t="s">
        <v>31</v>
      </c>
      <c r="N1" s="23" t="s">
        <v>32</v>
      </c>
      <c r="O1" s="23" t="s">
        <v>33</v>
      </c>
      <c r="Q1" s="9" t="s">
        <v>4</v>
      </c>
      <c r="R1" s="18" t="s">
        <v>0</v>
      </c>
      <c r="T1" s="18" t="s">
        <v>6</v>
      </c>
      <c r="U1" s="2" t="s">
        <v>7</v>
      </c>
      <c r="V1" s="2" t="s">
        <v>12</v>
      </c>
      <c r="W1" s="2" t="s">
        <v>13</v>
      </c>
      <c r="X1" s="2" t="s">
        <v>14</v>
      </c>
    </row>
    <row r="2" spans="1:24">
      <c r="A2" s="13">
        <v>45495</v>
      </c>
      <c r="B2">
        <v>23</v>
      </c>
      <c r="C2" t="s">
        <v>15</v>
      </c>
      <c r="D2" s="27">
        <v>12.01</v>
      </c>
      <c r="E2" s="27"/>
      <c r="F2" s="27"/>
      <c r="G2" s="27">
        <v>24</v>
      </c>
      <c r="H2" s="11">
        <f>IF(X2="", "", TIMEVALUE("0:" &amp; X2))</f>
        <v>3.8657407407407408E-3</v>
      </c>
      <c r="I2">
        <v>2</v>
      </c>
      <c r="J2" s="1" t="s">
        <v>2</v>
      </c>
      <c r="K2" t="s">
        <v>18</v>
      </c>
      <c r="L2" s="21" t="str">
        <f>HYPERLINK("#'2024ds'!B" &amp; ROW(B2), "")</f>
        <v/>
      </c>
      <c r="M2" s="17">
        <v>45495</v>
      </c>
      <c r="N2">
        <v>48.17</v>
      </c>
      <c r="O2" s="3">
        <v>0.16739583333333333</v>
      </c>
      <c r="P2" s="3"/>
      <c r="Q2" s="19" t="s">
        <v>1</v>
      </c>
      <c r="R2">
        <v>12.01</v>
      </c>
      <c r="T2" s="3">
        <f>SUM(U2:U368)</f>
        <v>0.20777777777777778</v>
      </c>
      <c r="U2" s="3">
        <f>IF(C2="","",TIMEVALUE(C2))</f>
        <v>4.6446759259259257E-2</v>
      </c>
      <c r="V2" s="4">
        <f>IF(C2="","",HOUR(C2)*60 + MINUTE(C2) + SECOND(C2)/60)</f>
        <v>66.88333333333334</v>
      </c>
      <c r="W2" s="4">
        <f>IF(V2="","",V2/D2)</f>
        <v>5.568970302525674</v>
      </c>
      <c r="X2" t="str">
        <f t="shared" ref="X2:X65" si="0">IF(V2="", "", IF(MOD(W2,1)*60&gt;=59.5, TEXT(INT(W2)+1, "0") &amp; ":00", TEXT(INT(W2), "0") &amp; ":" &amp; TEXT(ROUND(MOD(W2,1)*60, 0), "00")))</f>
        <v>5:34</v>
      </c>
    </row>
    <row r="3" spans="1:24">
      <c r="A3" s="13">
        <v>45496</v>
      </c>
      <c r="B3">
        <v>24</v>
      </c>
      <c r="C3" t="s">
        <v>16</v>
      </c>
      <c r="D3" s="27">
        <v>5.98</v>
      </c>
      <c r="E3" s="27"/>
      <c r="F3" s="27"/>
      <c r="G3" s="27">
        <v>24</v>
      </c>
      <c r="H3" s="11">
        <f t="shared" ref="H3:H66" si="1">IF(X3="", "", TIMEVALUE("0:" &amp; X3))</f>
        <v>3.7615740740740739E-3</v>
      </c>
      <c r="I3">
        <v>3</v>
      </c>
      <c r="J3" s="1" t="s">
        <v>2</v>
      </c>
      <c r="K3" t="s">
        <v>19</v>
      </c>
      <c r="L3" s="21" t="str">
        <f t="shared" ref="L3:L66" si="2">HYPERLINK("#'2024ds'!B" &amp; ROW(B3), "")</f>
        <v/>
      </c>
      <c r="M3" s="17">
        <v>45509</v>
      </c>
      <c r="N3">
        <v>12.01</v>
      </c>
      <c r="O3" s="3">
        <v>4.0381944444444443E-2</v>
      </c>
      <c r="P3" s="3"/>
      <c r="Q3" s="19" t="s">
        <v>2</v>
      </c>
      <c r="R3">
        <v>48.17</v>
      </c>
      <c r="U3" s="3">
        <f t="shared" ref="U3:U66" si="3">IF(C3="","",TIMEVALUE(C3))</f>
        <v>2.2488425925925926E-2</v>
      </c>
      <c r="V3" s="4">
        <f t="shared" ref="V3:V66" si="4">IF(C3="","",HOUR(C3)*60 + MINUTE(C3) + SECOND(C3)/60)</f>
        <v>32.383333333333333</v>
      </c>
      <c r="W3" s="4">
        <f t="shared" ref="W3:W66" si="5">IF(V3="","",V3/D3)</f>
        <v>5.4152731326644368</v>
      </c>
      <c r="X3" t="str">
        <f t="shared" si="0"/>
        <v>5:25</v>
      </c>
    </row>
    <row r="4" spans="1:24">
      <c r="B4">
        <v>25</v>
      </c>
      <c r="C4" t="s">
        <v>17</v>
      </c>
      <c r="D4" s="27">
        <v>6.16</v>
      </c>
      <c r="E4" s="27"/>
      <c r="F4" s="27"/>
      <c r="G4" s="27">
        <v>24</v>
      </c>
      <c r="H4" s="11">
        <f t="shared" si="1"/>
        <v>3.472222222222222E-3</v>
      </c>
      <c r="I4">
        <v>3</v>
      </c>
      <c r="J4" s="1" t="s">
        <v>2</v>
      </c>
      <c r="K4" t="s">
        <v>28</v>
      </c>
      <c r="L4" s="21" t="str">
        <f t="shared" si="2"/>
        <v/>
      </c>
      <c r="M4" s="17" t="s">
        <v>30</v>
      </c>
      <c r="N4">
        <v>60.18</v>
      </c>
      <c r="O4" s="3">
        <v>0.20777777777777778</v>
      </c>
      <c r="T4" s="26" t="s">
        <v>43</v>
      </c>
      <c r="U4" s="3">
        <f t="shared" si="3"/>
        <v>2.1365740740740741E-2</v>
      </c>
      <c r="V4" s="4">
        <f t="shared" si="4"/>
        <v>30.766666666666666</v>
      </c>
      <c r="W4" s="4">
        <f t="shared" si="5"/>
        <v>4.9945887445887447</v>
      </c>
      <c r="X4" t="str">
        <f t="shared" si="0"/>
        <v>5:00</v>
      </c>
    </row>
    <row r="5" spans="1:24">
      <c r="A5" s="13">
        <v>45497</v>
      </c>
      <c r="B5">
        <v>26</v>
      </c>
      <c r="C5" t="s">
        <v>24</v>
      </c>
      <c r="D5" s="27">
        <v>12.01</v>
      </c>
      <c r="E5" s="27"/>
      <c r="F5" s="27"/>
      <c r="G5" s="27">
        <v>24</v>
      </c>
      <c r="H5" s="11">
        <f t="shared" si="1"/>
        <v>3.1018518518518517E-3</v>
      </c>
      <c r="I5">
        <v>7</v>
      </c>
      <c r="J5" s="1" t="s">
        <v>1</v>
      </c>
      <c r="K5" t="s">
        <v>26</v>
      </c>
      <c r="L5" s="21" t="str">
        <f t="shared" si="2"/>
        <v/>
      </c>
      <c r="N5"/>
      <c r="U5" s="3">
        <f t="shared" si="3"/>
        <v>3.7199074074074072E-2</v>
      </c>
      <c r="V5" s="4">
        <f t="shared" si="4"/>
        <v>53.56666666666667</v>
      </c>
      <c r="W5" s="4">
        <f t="shared" si="5"/>
        <v>4.4601720788232031</v>
      </c>
      <c r="X5" t="str">
        <f t="shared" si="0"/>
        <v>4:28</v>
      </c>
    </row>
    <row r="6" spans="1:24">
      <c r="A6" s="13">
        <v>45498</v>
      </c>
      <c r="B6">
        <v>27</v>
      </c>
      <c r="C6" t="s">
        <v>25</v>
      </c>
      <c r="D6" s="27">
        <v>12.01</v>
      </c>
      <c r="E6" s="27"/>
      <c r="F6" s="27"/>
      <c r="G6" s="27">
        <v>25</v>
      </c>
      <c r="H6" s="11">
        <f t="shared" si="1"/>
        <v>3.3217592592592591E-3</v>
      </c>
      <c r="I6">
        <v>5</v>
      </c>
      <c r="J6" s="1" t="s">
        <v>2</v>
      </c>
      <c r="K6" t="s">
        <v>27</v>
      </c>
      <c r="L6" s="21" t="str">
        <f t="shared" si="2"/>
        <v/>
      </c>
      <c r="U6" s="3">
        <f t="shared" si="3"/>
        <v>3.9895833333333332E-2</v>
      </c>
      <c r="V6" s="4">
        <f t="shared" si="4"/>
        <v>57.45</v>
      </c>
      <c r="W6" s="4">
        <f t="shared" si="5"/>
        <v>4.7835137385512079</v>
      </c>
      <c r="X6" t="str">
        <f t="shared" si="0"/>
        <v>4:47</v>
      </c>
    </row>
    <row r="7" spans="1:24">
      <c r="A7" s="13">
        <v>45510</v>
      </c>
      <c r="B7">
        <v>28</v>
      </c>
      <c r="C7" t="s">
        <v>40</v>
      </c>
      <c r="D7" s="27">
        <v>12.01</v>
      </c>
      <c r="E7" s="27"/>
      <c r="F7" s="27"/>
      <c r="G7" s="27">
        <v>18</v>
      </c>
      <c r="H7" s="11">
        <f t="shared" si="1"/>
        <v>3.3680555555555556E-3</v>
      </c>
      <c r="I7">
        <v>3</v>
      </c>
      <c r="J7" s="1" t="s">
        <v>2</v>
      </c>
      <c r="K7" t="s">
        <v>41</v>
      </c>
      <c r="L7" s="21" t="str">
        <f t="shared" si="2"/>
        <v/>
      </c>
      <c r="U7" s="3">
        <f t="shared" si="3"/>
        <v>4.0381944444444443E-2</v>
      </c>
      <c r="V7" s="4">
        <f t="shared" si="4"/>
        <v>58.15</v>
      </c>
      <c r="W7" s="4">
        <f t="shared" si="5"/>
        <v>4.8417985012489595</v>
      </c>
      <c r="X7" t="str">
        <f t="shared" si="0"/>
        <v>4:51</v>
      </c>
    </row>
    <row r="8" spans="1:24">
      <c r="A8" s="13" t="s">
        <v>30</v>
      </c>
      <c r="B8" s="13"/>
      <c r="C8" s="13"/>
      <c r="D8" s="27">
        <v>60.18</v>
      </c>
      <c r="E8" s="27"/>
      <c r="F8" s="27"/>
      <c r="G8" s="25">
        <v>23.166666666666668</v>
      </c>
      <c r="H8" s="11" t="str">
        <f t="shared" si="1"/>
        <v/>
      </c>
      <c r="K8"/>
      <c r="L8" s="21" t="str">
        <f t="shared" si="2"/>
        <v/>
      </c>
      <c r="U8" s="3" t="str">
        <f t="shared" si="3"/>
        <v/>
      </c>
      <c r="V8" s="4" t="str">
        <f t="shared" si="4"/>
        <v/>
      </c>
      <c r="W8" s="4" t="str">
        <f t="shared" si="5"/>
        <v/>
      </c>
      <c r="X8" t="str">
        <f t="shared" si="0"/>
        <v/>
      </c>
    </row>
    <row r="9" spans="1:24">
      <c r="A9"/>
      <c r="B9"/>
      <c r="C9"/>
      <c r="H9" s="11" t="str">
        <f t="shared" si="1"/>
        <v/>
      </c>
      <c r="K9"/>
      <c r="L9" s="21" t="str">
        <f t="shared" si="2"/>
        <v/>
      </c>
      <c r="U9" s="3" t="str">
        <f t="shared" si="3"/>
        <v/>
      </c>
      <c r="V9" s="4" t="str">
        <f t="shared" si="4"/>
        <v/>
      </c>
      <c r="W9" s="4" t="str">
        <f t="shared" si="5"/>
        <v/>
      </c>
      <c r="X9" t="str">
        <f t="shared" si="0"/>
        <v/>
      </c>
    </row>
    <row r="10" spans="1:24">
      <c r="C10" s="1"/>
      <c r="D10" s="1"/>
      <c r="E10" s="1"/>
      <c r="F10" s="1"/>
      <c r="G10" s="11" t="str">
        <f t="shared" ref="G10:G39" si="6">IF(X10="", "", TIMEVALUE("0:" &amp; X10))</f>
        <v/>
      </c>
      <c r="H10" s="11" t="str">
        <f t="shared" si="1"/>
        <v/>
      </c>
      <c r="K10"/>
      <c r="L10" s="21" t="str">
        <f t="shared" si="2"/>
        <v/>
      </c>
      <c r="U10" s="3" t="str">
        <f t="shared" si="3"/>
        <v/>
      </c>
      <c r="V10" s="4" t="str">
        <f t="shared" si="4"/>
        <v/>
      </c>
      <c r="W10" s="4" t="str">
        <f t="shared" si="5"/>
        <v/>
      </c>
      <c r="X10" t="str">
        <f t="shared" si="0"/>
        <v/>
      </c>
    </row>
    <row r="11" spans="1:24">
      <c r="C11" s="1"/>
      <c r="D11" s="1"/>
      <c r="E11" s="1"/>
      <c r="F11" s="1"/>
      <c r="G11" s="11" t="str">
        <f t="shared" si="6"/>
        <v/>
      </c>
      <c r="H11" s="11" t="str">
        <f t="shared" si="1"/>
        <v/>
      </c>
      <c r="K11"/>
      <c r="L11" s="21" t="str">
        <f t="shared" si="2"/>
        <v/>
      </c>
      <c r="U11" s="3" t="str">
        <f t="shared" si="3"/>
        <v/>
      </c>
      <c r="V11" s="4" t="str">
        <f t="shared" si="4"/>
        <v/>
      </c>
      <c r="W11" s="4" t="str">
        <f t="shared" si="5"/>
        <v/>
      </c>
      <c r="X11" t="str">
        <f t="shared" si="0"/>
        <v/>
      </c>
    </row>
    <row r="12" spans="1:24">
      <c r="C12" s="1"/>
      <c r="D12" s="1"/>
      <c r="E12" s="1"/>
      <c r="F12" s="1"/>
      <c r="G12" s="11" t="str">
        <f t="shared" si="6"/>
        <v/>
      </c>
      <c r="H12" s="11" t="str">
        <f t="shared" si="1"/>
        <v/>
      </c>
      <c r="K12"/>
      <c r="L12" s="21" t="str">
        <f t="shared" si="2"/>
        <v/>
      </c>
      <c r="U12" s="3" t="str">
        <f t="shared" si="3"/>
        <v/>
      </c>
      <c r="V12" s="4" t="str">
        <f t="shared" si="4"/>
        <v/>
      </c>
      <c r="W12" s="4" t="str">
        <f t="shared" si="5"/>
        <v/>
      </c>
      <c r="X12" t="str">
        <f t="shared" si="0"/>
        <v/>
      </c>
    </row>
    <row r="13" spans="1:24">
      <c r="C13" s="1"/>
      <c r="D13" s="1"/>
      <c r="E13" s="1"/>
      <c r="F13" s="1"/>
      <c r="G13" s="11" t="str">
        <f t="shared" si="6"/>
        <v/>
      </c>
      <c r="H13" s="11" t="str">
        <f t="shared" si="1"/>
        <v/>
      </c>
      <c r="K13"/>
      <c r="L13" s="21" t="str">
        <f t="shared" si="2"/>
        <v/>
      </c>
      <c r="U13" s="3" t="str">
        <f t="shared" si="3"/>
        <v/>
      </c>
      <c r="V13" s="4" t="str">
        <f t="shared" si="4"/>
        <v/>
      </c>
      <c r="W13" s="4" t="str">
        <f t="shared" si="5"/>
        <v/>
      </c>
      <c r="X13" t="str">
        <f t="shared" si="0"/>
        <v/>
      </c>
    </row>
    <row r="14" spans="1:24">
      <c r="C14" s="1"/>
      <c r="D14" s="1"/>
      <c r="E14" s="1"/>
      <c r="F14" s="1"/>
      <c r="G14" s="11" t="str">
        <f t="shared" si="6"/>
        <v/>
      </c>
      <c r="H14" s="11" t="str">
        <f t="shared" si="1"/>
        <v/>
      </c>
      <c r="K14"/>
      <c r="L14" s="21" t="str">
        <f t="shared" si="2"/>
        <v/>
      </c>
      <c r="U14" s="3" t="str">
        <f t="shared" si="3"/>
        <v/>
      </c>
      <c r="V14" s="4" t="str">
        <f t="shared" si="4"/>
        <v/>
      </c>
      <c r="W14" s="4" t="str">
        <f t="shared" si="5"/>
        <v/>
      </c>
      <c r="X14" t="str">
        <f t="shared" si="0"/>
        <v/>
      </c>
    </row>
    <row r="15" spans="1:24">
      <c r="C15" s="12"/>
      <c r="D15" s="1"/>
      <c r="E15" s="1"/>
      <c r="F15" s="1"/>
      <c r="G15" s="11" t="str">
        <f t="shared" si="6"/>
        <v/>
      </c>
      <c r="H15" s="11" t="str">
        <f t="shared" si="1"/>
        <v/>
      </c>
      <c r="K15"/>
      <c r="L15" s="21" t="str">
        <f t="shared" si="2"/>
        <v/>
      </c>
      <c r="U15" s="3" t="str">
        <f t="shared" si="3"/>
        <v/>
      </c>
      <c r="V15" s="4" t="str">
        <f t="shared" si="4"/>
        <v/>
      </c>
      <c r="W15" s="4" t="str">
        <f t="shared" si="5"/>
        <v/>
      </c>
      <c r="X15" t="str">
        <f t="shared" si="0"/>
        <v/>
      </c>
    </row>
    <row r="16" spans="1:24">
      <c r="C16" s="12"/>
      <c r="D16" s="1"/>
      <c r="E16" s="1"/>
      <c r="F16" s="1"/>
      <c r="G16" s="11" t="str">
        <f t="shared" si="6"/>
        <v/>
      </c>
      <c r="H16" s="11" t="str">
        <f t="shared" si="1"/>
        <v/>
      </c>
      <c r="K16"/>
      <c r="L16" s="21" t="str">
        <f t="shared" si="2"/>
        <v/>
      </c>
      <c r="U16" s="3" t="str">
        <f t="shared" si="3"/>
        <v/>
      </c>
      <c r="V16" s="4" t="str">
        <f t="shared" si="4"/>
        <v/>
      </c>
      <c r="W16" s="4" t="str">
        <f t="shared" si="5"/>
        <v/>
      </c>
      <c r="X16" t="str">
        <f t="shared" si="0"/>
        <v/>
      </c>
    </row>
    <row r="17" spans="3:24">
      <c r="C17" s="12"/>
      <c r="D17" s="1"/>
      <c r="E17" s="1"/>
      <c r="F17" s="1"/>
      <c r="G17" s="11" t="str">
        <f t="shared" si="6"/>
        <v/>
      </c>
      <c r="H17" s="11" t="str">
        <f t="shared" si="1"/>
        <v/>
      </c>
      <c r="K17"/>
      <c r="L17" s="21" t="str">
        <f t="shared" si="2"/>
        <v/>
      </c>
      <c r="U17" s="3" t="str">
        <f t="shared" si="3"/>
        <v/>
      </c>
      <c r="V17" s="4" t="str">
        <f t="shared" si="4"/>
        <v/>
      </c>
      <c r="W17" s="4" t="str">
        <f t="shared" si="5"/>
        <v/>
      </c>
      <c r="X17" t="str">
        <f t="shared" si="0"/>
        <v/>
      </c>
    </row>
    <row r="18" spans="3:24">
      <c r="C18" s="12"/>
      <c r="D18" s="1"/>
      <c r="E18" s="1"/>
      <c r="F18" s="1"/>
      <c r="G18" s="11" t="str">
        <f t="shared" si="6"/>
        <v/>
      </c>
      <c r="H18" s="11" t="str">
        <f t="shared" si="1"/>
        <v/>
      </c>
      <c r="K18"/>
      <c r="L18" s="21" t="str">
        <f t="shared" si="2"/>
        <v/>
      </c>
      <c r="U18" s="3" t="str">
        <f t="shared" si="3"/>
        <v/>
      </c>
      <c r="V18" s="4" t="str">
        <f t="shared" si="4"/>
        <v/>
      </c>
      <c r="W18" s="4" t="str">
        <f t="shared" si="5"/>
        <v/>
      </c>
      <c r="X18" t="str">
        <f t="shared" si="0"/>
        <v/>
      </c>
    </row>
    <row r="19" spans="3:24">
      <c r="C19" s="12"/>
      <c r="D19" s="1"/>
      <c r="E19" s="1"/>
      <c r="F19" s="1"/>
      <c r="G19" s="11" t="str">
        <f t="shared" si="6"/>
        <v/>
      </c>
      <c r="H19" s="11" t="str">
        <f t="shared" si="1"/>
        <v/>
      </c>
      <c r="K19"/>
      <c r="L19" s="21" t="str">
        <f t="shared" si="2"/>
        <v/>
      </c>
      <c r="U19" s="3" t="str">
        <f t="shared" si="3"/>
        <v/>
      </c>
      <c r="V19" s="4" t="str">
        <f t="shared" si="4"/>
        <v/>
      </c>
      <c r="W19" s="4" t="str">
        <f t="shared" si="5"/>
        <v/>
      </c>
      <c r="X19" t="str">
        <f t="shared" si="0"/>
        <v/>
      </c>
    </row>
    <row r="20" spans="3:24">
      <c r="C20" s="12"/>
      <c r="D20" s="1"/>
      <c r="E20" s="1"/>
      <c r="F20" s="1"/>
      <c r="G20" s="11" t="str">
        <f t="shared" si="6"/>
        <v/>
      </c>
      <c r="H20" s="11" t="str">
        <f t="shared" si="1"/>
        <v/>
      </c>
      <c r="K20"/>
      <c r="L20" s="21" t="str">
        <f t="shared" si="2"/>
        <v/>
      </c>
      <c r="U20" s="3" t="str">
        <f t="shared" si="3"/>
        <v/>
      </c>
      <c r="V20" s="4" t="str">
        <f t="shared" si="4"/>
        <v/>
      </c>
      <c r="W20" s="4" t="str">
        <f t="shared" si="5"/>
        <v/>
      </c>
      <c r="X20" t="str">
        <f t="shared" si="0"/>
        <v/>
      </c>
    </row>
    <row r="21" spans="3:24">
      <c r="C21" s="12"/>
      <c r="D21" s="1"/>
      <c r="E21" s="1"/>
      <c r="F21" s="1"/>
      <c r="G21" s="11" t="str">
        <f t="shared" si="6"/>
        <v/>
      </c>
      <c r="H21" s="11" t="str">
        <f t="shared" si="1"/>
        <v/>
      </c>
      <c r="K21"/>
      <c r="L21" s="21" t="str">
        <f t="shared" si="2"/>
        <v/>
      </c>
      <c r="U21" s="3" t="str">
        <f t="shared" si="3"/>
        <v/>
      </c>
      <c r="V21" s="4" t="str">
        <f t="shared" si="4"/>
        <v/>
      </c>
      <c r="W21" s="4" t="str">
        <f t="shared" si="5"/>
        <v/>
      </c>
      <c r="X21" t="str">
        <f t="shared" si="0"/>
        <v/>
      </c>
    </row>
    <row r="22" spans="3:24">
      <c r="C22" s="12"/>
      <c r="D22" s="1"/>
      <c r="E22" s="1"/>
      <c r="F22" s="1"/>
      <c r="G22" s="11" t="str">
        <f t="shared" si="6"/>
        <v/>
      </c>
      <c r="H22" s="11" t="str">
        <f t="shared" si="1"/>
        <v/>
      </c>
      <c r="K22"/>
      <c r="L22" s="21" t="str">
        <f t="shared" si="2"/>
        <v/>
      </c>
      <c r="U22" s="3" t="str">
        <f t="shared" si="3"/>
        <v/>
      </c>
      <c r="V22" s="4" t="str">
        <f t="shared" si="4"/>
        <v/>
      </c>
      <c r="W22" s="4" t="str">
        <f t="shared" si="5"/>
        <v/>
      </c>
      <c r="X22" t="str">
        <f t="shared" si="0"/>
        <v/>
      </c>
    </row>
    <row r="23" spans="3:24">
      <c r="C23" s="12"/>
      <c r="D23" s="1"/>
      <c r="E23" s="1"/>
      <c r="F23" s="1"/>
      <c r="G23" s="11" t="str">
        <f t="shared" si="6"/>
        <v/>
      </c>
      <c r="H23" s="11" t="str">
        <f t="shared" si="1"/>
        <v/>
      </c>
      <c r="K23"/>
      <c r="L23" s="21" t="str">
        <f t="shared" si="2"/>
        <v/>
      </c>
      <c r="U23" s="3" t="str">
        <f t="shared" si="3"/>
        <v/>
      </c>
      <c r="V23" s="4" t="str">
        <f t="shared" si="4"/>
        <v/>
      </c>
      <c r="W23" s="4" t="str">
        <f t="shared" si="5"/>
        <v/>
      </c>
      <c r="X23" t="str">
        <f t="shared" si="0"/>
        <v/>
      </c>
    </row>
    <row r="24" spans="3:24">
      <c r="C24" s="12"/>
      <c r="D24" s="1"/>
      <c r="E24" s="1"/>
      <c r="F24" s="1"/>
      <c r="G24" s="11" t="str">
        <f t="shared" si="6"/>
        <v/>
      </c>
      <c r="H24" s="11" t="str">
        <f t="shared" si="1"/>
        <v/>
      </c>
      <c r="K24"/>
      <c r="L24" s="21" t="str">
        <f t="shared" si="2"/>
        <v/>
      </c>
      <c r="U24" s="3" t="str">
        <f t="shared" si="3"/>
        <v/>
      </c>
      <c r="V24" s="4" t="str">
        <f t="shared" si="4"/>
        <v/>
      </c>
      <c r="W24" s="4" t="str">
        <f t="shared" si="5"/>
        <v/>
      </c>
      <c r="X24" t="str">
        <f t="shared" si="0"/>
        <v/>
      </c>
    </row>
    <row r="25" spans="3:24">
      <c r="C25" s="12"/>
      <c r="D25" s="1"/>
      <c r="E25" s="1"/>
      <c r="F25" s="1"/>
      <c r="G25" s="11" t="str">
        <f t="shared" si="6"/>
        <v/>
      </c>
      <c r="H25" s="11" t="str">
        <f t="shared" si="1"/>
        <v/>
      </c>
      <c r="K25"/>
      <c r="L25" s="21" t="str">
        <f t="shared" si="2"/>
        <v/>
      </c>
      <c r="U25" s="3" t="str">
        <f t="shared" si="3"/>
        <v/>
      </c>
      <c r="V25" s="4" t="str">
        <f t="shared" si="4"/>
        <v/>
      </c>
      <c r="W25" s="4" t="str">
        <f t="shared" si="5"/>
        <v/>
      </c>
      <c r="X25" t="str">
        <f t="shared" si="0"/>
        <v/>
      </c>
    </row>
    <row r="26" spans="3:24">
      <c r="C26" s="12"/>
      <c r="D26" s="1"/>
      <c r="E26" s="1"/>
      <c r="F26" s="1"/>
      <c r="G26" s="11" t="str">
        <f t="shared" si="6"/>
        <v/>
      </c>
      <c r="H26" s="11" t="str">
        <f t="shared" si="1"/>
        <v/>
      </c>
      <c r="K26"/>
      <c r="L26" s="21" t="str">
        <f t="shared" si="2"/>
        <v/>
      </c>
      <c r="U26" s="3" t="str">
        <f t="shared" si="3"/>
        <v/>
      </c>
      <c r="V26" s="4" t="str">
        <f t="shared" si="4"/>
        <v/>
      </c>
      <c r="W26" s="4" t="str">
        <f t="shared" si="5"/>
        <v/>
      </c>
      <c r="X26" t="str">
        <f t="shared" si="0"/>
        <v/>
      </c>
    </row>
    <row r="27" spans="3:24">
      <c r="C27" s="12"/>
      <c r="D27" s="1"/>
      <c r="E27" s="1"/>
      <c r="F27" s="1"/>
      <c r="G27" s="11" t="str">
        <f t="shared" si="6"/>
        <v/>
      </c>
      <c r="H27" s="11" t="str">
        <f t="shared" si="1"/>
        <v/>
      </c>
      <c r="K27"/>
      <c r="L27" s="21" t="str">
        <f t="shared" si="2"/>
        <v/>
      </c>
      <c r="U27" s="3" t="str">
        <f t="shared" si="3"/>
        <v/>
      </c>
      <c r="V27" s="4" t="str">
        <f t="shared" si="4"/>
        <v/>
      </c>
      <c r="W27" s="4" t="str">
        <f t="shared" si="5"/>
        <v/>
      </c>
      <c r="X27" t="str">
        <f t="shared" si="0"/>
        <v/>
      </c>
    </row>
    <row r="28" spans="3:24">
      <c r="C28" s="12"/>
      <c r="D28" s="1"/>
      <c r="E28" s="1"/>
      <c r="F28" s="1"/>
      <c r="G28" s="11" t="str">
        <f t="shared" si="6"/>
        <v/>
      </c>
      <c r="H28" s="11" t="str">
        <f t="shared" si="1"/>
        <v/>
      </c>
      <c r="K28"/>
      <c r="L28" s="21" t="str">
        <f t="shared" si="2"/>
        <v/>
      </c>
      <c r="U28" s="3" t="str">
        <f t="shared" si="3"/>
        <v/>
      </c>
      <c r="V28" s="4" t="str">
        <f t="shared" si="4"/>
        <v/>
      </c>
      <c r="W28" s="4" t="str">
        <f t="shared" si="5"/>
        <v/>
      </c>
      <c r="X28" t="str">
        <f t="shared" si="0"/>
        <v/>
      </c>
    </row>
    <row r="29" spans="3:24">
      <c r="C29" s="12"/>
      <c r="D29" s="1"/>
      <c r="E29" s="1"/>
      <c r="F29" s="1"/>
      <c r="G29" s="11" t="str">
        <f t="shared" si="6"/>
        <v/>
      </c>
      <c r="H29" s="11" t="str">
        <f t="shared" si="1"/>
        <v/>
      </c>
      <c r="K29"/>
      <c r="L29" s="21" t="str">
        <f t="shared" si="2"/>
        <v/>
      </c>
      <c r="U29" s="3" t="str">
        <f t="shared" si="3"/>
        <v/>
      </c>
      <c r="V29" s="4" t="str">
        <f t="shared" si="4"/>
        <v/>
      </c>
      <c r="W29" s="4" t="str">
        <f t="shared" si="5"/>
        <v/>
      </c>
      <c r="X29" t="str">
        <f t="shared" si="0"/>
        <v/>
      </c>
    </row>
    <row r="30" spans="3:24">
      <c r="C30" s="12"/>
      <c r="D30" s="1"/>
      <c r="E30" s="1"/>
      <c r="F30" s="1"/>
      <c r="G30" s="11" t="str">
        <f t="shared" si="6"/>
        <v/>
      </c>
      <c r="H30" s="11" t="str">
        <f t="shared" si="1"/>
        <v/>
      </c>
      <c r="K30"/>
      <c r="L30" s="21" t="str">
        <f t="shared" si="2"/>
        <v/>
      </c>
      <c r="U30" s="3" t="str">
        <f t="shared" si="3"/>
        <v/>
      </c>
      <c r="V30" s="4" t="str">
        <f t="shared" si="4"/>
        <v/>
      </c>
      <c r="W30" s="4" t="str">
        <f t="shared" si="5"/>
        <v/>
      </c>
      <c r="X30" t="str">
        <f t="shared" si="0"/>
        <v/>
      </c>
    </row>
    <row r="31" spans="3:24">
      <c r="C31" s="12"/>
      <c r="D31" s="1"/>
      <c r="E31" s="1"/>
      <c r="F31" s="1"/>
      <c r="G31" s="11" t="str">
        <f t="shared" si="6"/>
        <v/>
      </c>
      <c r="H31" s="11" t="str">
        <f t="shared" si="1"/>
        <v/>
      </c>
      <c r="K31"/>
      <c r="L31" s="21" t="str">
        <f t="shared" si="2"/>
        <v/>
      </c>
      <c r="U31" s="3" t="str">
        <f t="shared" si="3"/>
        <v/>
      </c>
      <c r="V31" s="4" t="str">
        <f t="shared" si="4"/>
        <v/>
      </c>
      <c r="W31" s="4" t="str">
        <f t="shared" si="5"/>
        <v/>
      </c>
      <c r="X31" t="str">
        <f t="shared" si="0"/>
        <v/>
      </c>
    </row>
    <row r="32" spans="3:24">
      <c r="C32" s="12"/>
      <c r="D32" s="1"/>
      <c r="E32" s="1"/>
      <c r="F32" s="1"/>
      <c r="G32" s="11" t="str">
        <f t="shared" si="6"/>
        <v/>
      </c>
      <c r="H32" s="11" t="str">
        <f t="shared" si="1"/>
        <v/>
      </c>
      <c r="K32"/>
      <c r="L32" s="21" t="str">
        <f t="shared" si="2"/>
        <v/>
      </c>
      <c r="U32" s="3" t="str">
        <f t="shared" si="3"/>
        <v/>
      </c>
      <c r="V32" s="4" t="str">
        <f t="shared" si="4"/>
        <v/>
      </c>
      <c r="W32" s="4" t="str">
        <f t="shared" si="5"/>
        <v/>
      </c>
      <c r="X32" t="str">
        <f t="shared" si="0"/>
        <v/>
      </c>
    </row>
    <row r="33" spans="3:24">
      <c r="C33" s="12"/>
      <c r="D33" s="1"/>
      <c r="E33" s="1"/>
      <c r="F33" s="1"/>
      <c r="G33" s="11" t="str">
        <f t="shared" si="6"/>
        <v/>
      </c>
      <c r="H33" s="11" t="str">
        <f t="shared" si="1"/>
        <v/>
      </c>
      <c r="K33"/>
      <c r="L33" s="21" t="str">
        <f t="shared" si="2"/>
        <v/>
      </c>
      <c r="U33" s="3" t="str">
        <f t="shared" si="3"/>
        <v/>
      </c>
      <c r="V33" s="4" t="str">
        <f t="shared" si="4"/>
        <v/>
      </c>
      <c r="W33" s="4" t="str">
        <f t="shared" si="5"/>
        <v/>
      </c>
      <c r="X33" t="str">
        <f t="shared" si="0"/>
        <v/>
      </c>
    </row>
    <row r="34" spans="3:24">
      <c r="C34" s="12"/>
      <c r="D34" s="1"/>
      <c r="E34" s="1"/>
      <c r="F34" s="1"/>
      <c r="G34" s="11" t="str">
        <f t="shared" si="6"/>
        <v/>
      </c>
      <c r="H34" s="11" t="str">
        <f t="shared" si="1"/>
        <v/>
      </c>
      <c r="K34"/>
      <c r="L34" s="21" t="str">
        <f t="shared" si="2"/>
        <v/>
      </c>
      <c r="U34" s="3" t="str">
        <f t="shared" si="3"/>
        <v/>
      </c>
      <c r="V34" s="4" t="str">
        <f t="shared" si="4"/>
        <v/>
      </c>
      <c r="W34" s="4" t="str">
        <f t="shared" si="5"/>
        <v/>
      </c>
      <c r="X34" t="str">
        <f t="shared" si="0"/>
        <v/>
      </c>
    </row>
    <row r="35" spans="3:24">
      <c r="C35" s="12"/>
      <c r="D35" s="1"/>
      <c r="E35" s="1"/>
      <c r="F35" s="1"/>
      <c r="G35" s="11" t="str">
        <f t="shared" si="6"/>
        <v/>
      </c>
      <c r="H35" s="11" t="str">
        <f t="shared" si="1"/>
        <v/>
      </c>
      <c r="K35"/>
      <c r="L35" s="21" t="str">
        <f t="shared" si="2"/>
        <v/>
      </c>
      <c r="U35" s="3" t="str">
        <f t="shared" si="3"/>
        <v/>
      </c>
      <c r="V35" s="4" t="str">
        <f t="shared" si="4"/>
        <v/>
      </c>
      <c r="W35" s="4" t="str">
        <f t="shared" si="5"/>
        <v/>
      </c>
      <c r="X35" t="str">
        <f t="shared" si="0"/>
        <v/>
      </c>
    </row>
    <row r="36" spans="3:24">
      <c r="C36" s="12"/>
      <c r="D36" s="1"/>
      <c r="E36" s="1"/>
      <c r="F36" s="1"/>
      <c r="G36" s="11" t="str">
        <f t="shared" si="6"/>
        <v/>
      </c>
      <c r="H36" s="11" t="str">
        <f t="shared" si="1"/>
        <v/>
      </c>
      <c r="K36"/>
      <c r="L36" s="21" t="str">
        <f t="shared" si="2"/>
        <v/>
      </c>
      <c r="U36" s="3" t="str">
        <f t="shared" si="3"/>
        <v/>
      </c>
      <c r="V36" s="4" t="str">
        <f t="shared" si="4"/>
        <v/>
      </c>
      <c r="W36" s="4" t="str">
        <f t="shared" si="5"/>
        <v/>
      </c>
      <c r="X36" t="str">
        <f t="shared" si="0"/>
        <v/>
      </c>
    </row>
    <row r="37" spans="3:24">
      <c r="C37" s="12"/>
      <c r="D37" s="1"/>
      <c r="E37" s="1"/>
      <c r="F37" s="1"/>
      <c r="G37" s="11" t="str">
        <f t="shared" si="6"/>
        <v/>
      </c>
      <c r="H37" s="11" t="str">
        <f t="shared" si="1"/>
        <v/>
      </c>
      <c r="K37"/>
      <c r="L37" s="21" t="str">
        <f t="shared" si="2"/>
        <v/>
      </c>
      <c r="U37" s="3" t="str">
        <f t="shared" si="3"/>
        <v/>
      </c>
      <c r="V37" s="4" t="str">
        <f t="shared" si="4"/>
        <v/>
      </c>
      <c r="W37" s="4" t="str">
        <f t="shared" si="5"/>
        <v/>
      </c>
      <c r="X37" t="str">
        <f t="shared" si="0"/>
        <v/>
      </c>
    </row>
    <row r="38" spans="3:24">
      <c r="C38" s="12"/>
      <c r="D38" s="1"/>
      <c r="E38" s="1"/>
      <c r="F38" s="1"/>
      <c r="G38" s="11" t="str">
        <f t="shared" si="6"/>
        <v/>
      </c>
      <c r="H38" s="11" t="str">
        <f t="shared" si="1"/>
        <v/>
      </c>
      <c r="K38"/>
      <c r="L38" s="21" t="str">
        <f t="shared" si="2"/>
        <v/>
      </c>
      <c r="U38" s="3" t="str">
        <f t="shared" si="3"/>
        <v/>
      </c>
      <c r="V38" s="4" t="str">
        <f t="shared" si="4"/>
        <v/>
      </c>
      <c r="W38" s="4" t="str">
        <f t="shared" si="5"/>
        <v/>
      </c>
      <c r="X38" t="str">
        <f t="shared" si="0"/>
        <v/>
      </c>
    </row>
    <row r="39" spans="3:24">
      <c r="C39" s="12"/>
      <c r="D39" s="1"/>
      <c r="E39" s="1"/>
      <c r="F39" s="1"/>
      <c r="G39" s="11" t="str">
        <f t="shared" si="6"/>
        <v/>
      </c>
      <c r="H39" s="11" t="str">
        <f t="shared" si="1"/>
        <v/>
      </c>
      <c r="K39"/>
      <c r="L39" s="21" t="str">
        <f t="shared" si="2"/>
        <v/>
      </c>
      <c r="U39" s="3" t="str">
        <f t="shared" si="3"/>
        <v/>
      </c>
      <c r="V39" s="4" t="str">
        <f t="shared" si="4"/>
        <v/>
      </c>
      <c r="W39" s="4" t="str">
        <f t="shared" si="5"/>
        <v/>
      </c>
      <c r="X39" t="str">
        <f t="shared" si="0"/>
        <v/>
      </c>
    </row>
    <row r="40" spans="3:24">
      <c r="C40" s="12"/>
      <c r="D40" s="1"/>
      <c r="E40" s="1"/>
      <c r="F40" s="1"/>
      <c r="G40" s="11" t="str">
        <f t="shared" ref="G40:G65" si="7">IF(X40="", "", TIMEVALUE("0:" &amp; X40))</f>
        <v/>
      </c>
      <c r="H40" s="11" t="str">
        <f t="shared" si="1"/>
        <v/>
      </c>
      <c r="K40"/>
      <c r="L40" s="21" t="str">
        <f t="shared" si="2"/>
        <v/>
      </c>
      <c r="U40" s="3" t="str">
        <f t="shared" si="3"/>
        <v/>
      </c>
      <c r="V40" s="4" t="str">
        <f t="shared" si="4"/>
        <v/>
      </c>
      <c r="W40" s="4" t="str">
        <f t="shared" si="5"/>
        <v/>
      </c>
      <c r="X40" t="str">
        <f t="shared" si="0"/>
        <v/>
      </c>
    </row>
    <row r="41" spans="3:24">
      <c r="C41" s="12"/>
      <c r="D41" s="1"/>
      <c r="E41" s="1"/>
      <c r="F41" s="1"/>
      <c r="G41" s="11" t="str">
        <f t="shared" si="7"/>
        <v/>
      </c>
      <c r="H41" s="11" t="str">
        <f t="shared" si="1"/>
        <v/>
      </c>
      <c r="K41"/>
      <c r="L41" s="21" t="str">
        <f t="shared" si="2"/>
        <v/>
      </c>
      <c r="U41" s="3" t="str">
        <f t="shared" si="3"/>
        <v/>
      </c>
      <c r="V41" s="4" t="str">
        <f t="shared" si="4"/>
        <v/>
      </c>
      <c r="W41" s="4" t="str">
        <f t="shared" si="5"/>
        <v/>
      </c>
      <c r="X41" t="str">
        <f t="shared" si="0"/>
        <v/>
      </c>
    </row>
    <row r="42" spans="3:24">
      <c r="C42" s="12"/>
      <c r="D42" s="1"/>
      <c r="E42" s="1"/>
      <c r="F42" s="1"/>
      <c r="G42" s="11" t="str">
        <f t="shared" si="7"/>
        <v/>
      </c>
      <c r="H42" s="11" t="str">
        <f t="shared" si="1"/>
        <v/>
      </c>
      <c r="K42"/>
      <c r="L42" s="21" t="str">
        <f t="shared" si="2"/>
        <v/>
      </c>
      <c r="U42" s="3" t="str">
        <f t="shared" si="3"/>
        <v/>
      </c>
      <c r="V42" s="4" t="str">
        <f t="shared" si="4"/>
        <v/>
      </c>
      <c r="W42" s="4" t="str">
        <f t="shared" si="5"/>
        <v/>
      </c>
      <c r="X42" t="str">
        <f t="shared" si="0"/>
        <v/>
      </c>
    </row>
    <row r="43" spans="3:24">
      <c r="C43" s="12"/>
      <c r="D43" s="1"/>
      <c r="E43" s="1"/>
      <c r="F43" s="1"/>
      <c r="G43" s="11" t="str">
        <f t="shared" si="7"/>
        <v/>
      </c>
      <c r="H43" s="11" t="str">
        <f t="shared" si="1"/>
        <v/>
      </c>
      <c r="K43"/>
      <c r="L43" s="21" t="str">
        <f t="shared" si="2"/>
        <v/>
      </c>
      <c r="U43" s="3" t="str">
        <f t="shared" si="3"/>
        <v/>
      </c>
      <c r="V43" s="4" t="str">
        <f t="shared" si="4"/>
        <v/>
      </c>
      <c r="W43" s="4" t="str">
        <f t="shared" si="5"/>
        <v/>
      </c>
      <c r="X43" t="str">
        <f t="shared" si="0"/>
        <v/>
      </c>
    </row>
    <row r="44" spans="3:24">
      <c r="C44" s="12"/>
      <c r="D44" s="1"/>
      <c r="E44" s="1"/>
      <c r="F44" s="1"/>
      <c r="G44" s="11" t="str">
        <f t="shared" si="7"/>
        <v/>
      </c>
      <c r="H44" s="11" t="str">
        <f t="shared" si="1"/>
        <v/>
      </c>
      <c r="K44"/>
      <c r="L44" s="21" t="str">
        <f t="shared" si="2"/>
        <v/>
      </c>
      <c r="U44" s="3" t="str">
        <f t="shared" si="3"/>
        <v/>
      </c>
      <c r="V44" s="4" t="str">
        <f t="shared" si="4"/>
        <v/>
      </c>
      <c r="W44" s="4" t="str">
        <f t="shared" si="5"/>
        <v/>
      </c>
      <c r="X44" t="str">
        <f t="shared" si="0"/>
        <v/>
      </c>
    </row>
    <row r="45" spans="3:24">
      <c r="C45" s="12"/>
      <c r="D45" s="1"/>
      <c r="E45" s="1"/>
      <c r="F45" s="1"/>
      <c r="G45" s="11" t="str">
        <f t="shared" si="7"/>
        <v/>
      </c>
      <c r="H45" s="11" t="str">
        <f t="shared" si="1"/>
        <v/>
      </c>
      <c r="K45"/>
      <c r="L45" s="21" t="str">
        <f t="shared" si="2"/>
        <v/>
      </c>
      <c r="U45" s="3" t="str">
        <f t="shared" si="3"/>
        <v/>
      </c>
      <c r="V45" s="4" t="str">
        <f t="shared" si="4"/>
        <v/>
      </c>
      <c r="W45" s="4" t="str">
        <f t="shared" si="5"/>
        <v/>
      </c>
      <c r="X45" t="str">
        <f t="shared" si="0"/>
        <v/>
      </c>
    </row>
    <row r="46" spans="3:24">
      <c r="C46" s="12"/>
      <c r="D46" s="1"/>
      <c r="E46" s="1"/>
      <c r="F46" s="1"/>
      <c r="G46" s="11" t="str">
        <f t="shared" si="7"/>
        <v/>
      </c>
      <c r="H46" s="11" t="str">
        <f t="shared" si="1"/>
        <v/>
      </c>
      <c r="K46"/>
      <c r="L46" s="21" t="str">
        <f t="shared" si="2"/>
        <v/>
      </c>
      <c r="U46" s="3" t="str">
        <f t="shared" si="3"/>
        <v/>
      </c>
      <c r="V46" s="4" t="str">
        <f t="shared" si="4"/>
        <v/>
      </c>
      <c r="W46" s="4" t="str">
        <f t="shared" si="5"/>
        <v/>
      </c>
      <c r="X46" t="str">
        <f t="shared" si="0"/>
        <v/>
      </c>
    </row>
    <row r="47" spans="3:24">
      <c r="C47" s="12"/>
      <c r="D47" s="1"/>
      <c r="E47" s="1"/>
      <c r="F47" s="1"/>
      <c r="G47" s="11" t="str">
        <f t="shared" si="7"/>
        <v/>
      </c>
      <c r="H47" s="11" t="str">
        <f t="shared" si="1"/>
        <v/>
      </c>
      <c r="K47"/>
      <c r="L47" s="21" t="str">
        <f t="shared" si="2"/>
        <v/>
      </c>
      <c r="U47" s="3" t="str">
        <f t="shared" si="3"/>
        <v/>
      </c>
      <c r="V47" s="4" t="str">
        <f t="shared" si="4"/>
        <v/>
      </c>
      <c r="W47" s="4" t="str">
        <f t="shared" si="5"/>
        <v/>
      </c>
      <c r="X47" t="str">
        <f t="shared" si="0"/>
        <v/>
      </c>
    </row>
    <row r="48" spans="3:24">
      <c r="C48" s="12"/>
      <c r="D48" s="1"/>
      <c r="E48" s="1"/>
      <c r="F48" s="1"/>
      <c r="G48" s="11" t="str">
        <f t="shared" si="7"/>
        <v/>
      </c>
      <c r="H48" s="11" t="str">
        <f t="shared" si="1"/>
        <v/>
      </c>
      <c r="K48"/>
      <c r="L48" s="21" t="str">
        <f t="shared" si="2"/>
        <v/>
      </c>
      <c r="U48" s="3" t="str">
        <f t="shared" si="3"/>
        <v/>
      </c>
      <c r="V48" s="4" t="str">
        <f t="shared" si="4"/>
        <v/>
      </c>
      <c r="W48" s="4" t="str">
        <f t="shared" si="5"/>
        <v/>
      </c>
      <c r="X48" t="str">
        <f t="shared" si="0"/>
        <v/>
      </c>
    </row>
    <row r="49" spans="3:24">
      <c r="C49" s="12"/>
      <c r="D49" s="1"/>
      <c r="E49" s="1"/>
      <c r="F49" s="1"/>
      <c r="G49" s="11" t="str">
        <f t="shared" si="7"/>
        <v/>
      </c>
      <c r="H49" s="11" t="str">
        <f t="shared" si="1"/>
        <v/>
      </c>
      <c r="K49"/>
      <c r="L49" s="21" t="str">
        <f t="shared" si="2"/>
        <v/>
      </c>
      <c r="U49" s="3" t="str">
        <f t="shared" si="3"/>
        <v/>
      </c>
      <c r="V49" s="4" t="str">
        <f t="shared" si="4"/>
        <v/>
      </c>
      <c r="W49" s="4" t="str">
        <f t="shared" si="5"/>
        <v/>
      </c>
      <c r="X49" t="str">
        <f t="shared" si="0"/>
        <v/>
      </c>
    </row>
    <row r="50" spans="3:24">
      <c r="C50" s="12"/>
      <c r="D50" s="1"/>
      <c r="E50" s="1"/>
      <c r="F50" s="1"/>
      <c r="G50" s="11" t="str">
        <f t="shared" si="7"/>
        <v/>
      </c>
      <c r="H50" s="11" t="str">
        <f t="shared" si="1"/>
        <v/>
      </c>
      <c r="K50"/>
      <c r="L50" s="21" t="str">
        <f t="shared" si="2"/>
        <v/>
      </c>
      <c r="U50" s="3" t="str">
        <f t="shared" si="3"/>
        <v/>
      </c>
      <c r="V50" s="4" t="str">
        <f t="shared" si="4"/>
        <v/>
      </c>
      <c r="W50" s="4" t="str">
        <f t="shared" si="5"/>
        <v/>
      </c>
      <c r="X50" t="str">
        <f t="shared" si="0"/>
        <v/>
      </c>
    </row>
    <row r="51" spans="3:24">
      <c r="C51" s="12"/>
      <c r="D51" s="1"/>
      <c r="E51" s="1"/>
      <c r="F51" s="1"/>
      <c r="G51" s="11" t="str">
        <f t="shared" si="7"/>
        <v/>
      </c>
      <c r="H51" s="11" t="str">
        <f t="shared" si="1"/>
        <v/>
      </c>
      <c r="K51"/>
      <c r="L51" s="21" t="str">
        <f t="shared" si="2"/>
        <v/>
      </c>
      <c r="U51" s="3" t="str">
        <f t="shared" si="3"/>
        <v/>
      </c>
      <c r="V51" s="4" t="str">
        <f t="shared" si="4"/>
        <v/>
      </c>
      <c r="W51" s="4" t="str">
        <f t="shared" si="5"/>
        <v/>
      </c>
      <c r="X51" t="str">
        <f t="shared" si="0"/>
        <v/>
      </c>
    </row>
    <row r="52" spans="3:24">
      <c r="C52" s="12"/>
      <c r="D52" s="1"/>
      <c r="E52" s="1"/>
      <c r="F52" s="1"/>
      <c r="G52" s="11" t="str">
        <f t="shared" si="7"/>
        <v/>
      </c>
      <c r="H52" s="11" t="str">
        <f t="shared" si="1"/>
        <v/>
      </c>
      <c r="K52"/>
      <c r="L52" s="21" t="str">
        <f t="shared" si="2"/>
        <v/>
      </c>
      <c r="U52" s="3" t="str">
        <f t="shared" si="3"/>
        <v/>
      </c>
      <c r="V52" s="4" t="str">
        <f t="shared" si="4"/>
        <v/>
      </c>
      <c r="W52" s="4" t="str">
        <f t="shared" si="5"/>
        <v/>
      </c>
      <c r="X52" t="str">
        <f t="shared" si="0"/>
        <v/>
      </c>
    </row>
    <row r="53" spans="3:24">
      <c r="C53" s="12"/>
      <c r="D53" s="1"/>
      <c r="E53" s="1"/>
      <c r="F53" s="1"/>
      <c r="G53" s="11" t="str">
        <f t="shared" si="7"/>
        <v/>
      </c>
      <c r="H53" s="11" t="str">
        <f t="shared" si="1"/>
        <v/>
      </c>
      <c r="K53"/>
      <c r="L53" s="21" t="str">
        <f t="shared" si="2"/>
        <v/>
      </c>
      <c r="U53" s="3" t="str">
        <f t="shared" si="3"/>
        <v/>
      </c>
      <c r="V53" s="4" t="str">
        <f t="shared" si="4"/>
        <v/>
      </c>
      <c r="W53" s="4" t="str">
        <f t="shared" si="5"/>
        <v/>
      </c>
      <c r="X53" t="str">
        <f t="shared" si="0"/>
        <v/>
      </c>
    </row>
    <row r="54" spans="3:24">
      <c r="C54" s="12"/>
      <c r="D54" s="1"/>
      <c r="E54" s="1"/>
      <c r="F54" s="1"/>
      <c r="G54" s="11" t="str">
        <f t="shared" si="7"/>
        <v/>
      </c>
      <c r="H54" s="11" t="str">
        <f t="shared" si="1"/>
        <v/>
      </c>
      <c r="K54"/>
      <c r="L54" s="21" t="str">
        <f t="shared" si="2"/>
        <v/>
      </c>
      <c r="U54" s="3" t="str">
        <f t="shared" si="3"/>
        <v/>
      </c>
      <c r="V54" s="4" t="str">
        <f t="shared" si="4"/>
        <v/>
      </c>
      <c r="W54" s="4" t="str">
        <f t="shared" si="5"/>
        <v/>
      </c>
      <c r="X54" t="str">
        <f t="shared" si="0"/>
        <v/>
      </c>
    </row>
    <row r="55" spans="3:24">
      <c r="C55" s="12"/>
      <c r="D55" s="1"/>
      <c r="E55" s="1"/>
      <c r="F55" s="1"/>
      <c r="G55" s="11" t="str">
        <f t="shared" si="7"/>
        <v/>
      </c>
      <c r="H55" s="11" t="str">
        <f t="shared" si="1"/>
        <v/>
      </c>
      <c r="K55"/>
      <c r="L55" s="21" t="str">
        <f t="shared" si="2"/>
        <v/>
      </c>
      <c r="U55" s="3" t="str">
        <f t="shared" si="3"/>
        <v/>
      </c>
      <c r="V55" s="4" t="str">
        <f t="shared" si="4"/>
        <v/>
      </c>
      <c r="W55" s="4" t="str">
        <f t="shared" si="5"/>
        <v/>
      </c>
      <c r="X55" t="str">
        <f t="shared" si="0"/>
        <v/>
      </c>
    </row>
    <row r="56" spans="3:24">
      <c r="C56" s="12"/>
      <c r="D56" s="1"/>
      <c r="E56" s="1"/>
      <c r="F56" s="1"/>
      <c r="G56" s="11" t="str">
        <f t="shared" si="7"/>
        <v/>
      </c>
      <c r="H56" s="11" t="str">
        <f t="shared" si="1"/>
        <v/>
      </c>
      <c r="K56"/>
      <c r="L56" s="21" t="str">
        <f t="shared" si="2"/>
        <v/>
      </c>
      <c r="U56" s="3" t="str">
        <f t="shared" si="3"/>
        <v/>
      </c>
      <c r="V56" s="4" t="str">
        <f t="shared" si="4"/>
        <v/>
      </c>
      <c r="W56" s="4" t="str">
        <f t="shared" si="5"/>
        <v/>
      </c>
      <c r="X56" t="str">
        <f t="shared" si="0"/>
        <v/>
      </c>
    </row>
    <row r="57" spans="3:24">
      <c r="C57" s="12"/>
      <c r="D57" s="1"/>
      <c r="E57" s="1"/>
      <c r="F57" s="1"/>
      <c r="G57" s="11" t="str">
        <f t="shared" si="7"/>
        <v/>
      </c>
      <c r="H57" s="11" t="str">
        <f t="shared" si="1"/>
        <v/>
      </c>
      <c r="K57"/>
      <c r="L57" s="21" t="str">
        <f t="shared" si="2"/>
        <v/>
      </c>
      <c r="U57" s="3" t="str">
        <f t="shared" si="3"/>
        <v/>
      </c>
      <c r="V57" s="4" t="str">
        <f t="shared" si="4"/>
        <v/>
      </c>
      <c r="W57" s="4" t="str">
        <f t="shared" si="5"/>
        <v/>
      </c>
      <c r="X57" t="str">
        <f t="shared" si="0"/>
        <v/>
      </c>
    </row>
    <row r="58" spans="3:24">
      <c r="C58" s="12"/>
      <c r="D58" s="1"/>
      <c r="E58" s="1"/>
      <c r="F58" s="1"/>
      <c r="G58" s="11" t="str">
        <f t="shared" si="7"/>
        <v/>
      </c>
      <c r="H58" s="11" t="str">
        <f t="shared" si="1"/>
        <v/>
      </c>
      <c r="K58"/>
      <c r="L58" s="21" t="str">
        <f t="shared" si="2"/>
        <v/>
      </c>
      <c r="U58" s="3" t="str">
        <f t="shared" si="3"/>
        <v/>
      </c>
      <c r="V58" s="4" t="str">
        <f t="shared" si="4"/>
        <v/>
      </c>
      <c r="W58" s="4" t="str">
        <f t="shared" si="5"/>
        <v/>
      </c>
      <c r="X58" t="str">
        <f t="shared" si="0"/>
        <v/>
      </c>
    </row>
    <row r="59" spans="3:24">
      <c r="C59" s="12"/>
      <c r="D59" s="1"/>
      <c r="E59" s="1"/>
      <c r="F59" s="1"/>
      <c r="G59" s="11" t="str">
        <f t="shared" si="7"/>
        <v/>
      </c>
      <c r="H59" s="11" t="str">
        <f t="shared" si="1"/>
        <v/>
      </c>
      <c r="K59"/>
      <c r="L59" s="21" t="str">
        <f t="shared" si="2"/>
        <v/>
      </c>
      <c r="U59" s="3" t="str">
        <f t="shared" si="3"/>
        <v/>
      </c>
      <c r="V59" s="4" t="str">
        <f t="shared" si="4"/>
        <v/>
      </c>
      <c r="W59" s="4" t="str">
        <f t="shared" si="5"/>
        <v/>
      </c>
      <c r="X59" t="str">
        <f t="shared" si="0"/>
        <v/>
      </c>
    </row>
    <row r="60" spans="3:24">
      <c r="C60" s="12"/>
      <c r="D60" s="1"/>
      <c r="E60" s="1"/>
      <c r="F60" s="1"/>
      <c r="G60" s="11" t="str">
        <f t="shared" si="7"/>
        <v/>
      </c>
      <c r="H60" s="11" t="str">
        <f t="shared" si="1"/>
        <v/>
      </c>
      <c r="K60"/>
      <c r="L60" s="21" t="str">
        <f t="shared" si="2"/>
        <v/>
      </c>
      <c r="U60" s="3" t="str">
        <f t="shared" si="3"/>
        <v/>
      </c>
      <c r="V60" s="4" t="str">
        <f t="shared" si="4"/>
        <v/>
      </c>
      <c r="W60" s="4" t="str">
        <f t="shared" si="5"/>
        <v/>
      </c>
      <c r="X60" t="str">
        <f t="shared" si="0"/>
        <v/>
      </c>
    </row>
    <row r="61" spans="3:24">
      <c r="C61" s="12"/>
      <c r="D61" s="1"/>
      <c r="E61" s="1"/>
      <c r="F61" s="1"/>
      <c r="G61" s="11" t="str">
        <f t="shared" si="7"/>
        <v/>
      </c>
      <c r="H61" s="11" t="str">
        <f t="shared" si="1"/>
        <v/>
      </c>
      <c r="K61"/>
      <c r="L61" s="21" t="str">
        <f t="shared" si="2"/>
        <v/>
      </c>
      <c r="U61" s="3" t="str">
        <f t="shared" si="3"/>
        <v/>
      </c>
      <c r="V61" s="4" t="str">
        <f t="shared" si="4"/>
        <v/>
      </c>
      <c r="W61" s="4" t="str">
        <f t="shared" si="5"/>
        <v/>
      </c>
      <c r="X61" t="str">
        <f t="shared" si="0"/>
        <v/>
      </c>
    </row>
    <row r="62" spans="3:24">
      <c r="C62" s="12"/>
      <c r="D62" s="1"/>
      <c r="E62" s="1"/>
      <c r="F62" s="1"/>
      <c r="G62" s="11" t="str">
        <f t="shared" si="7"/>
        <v/>
      </c>
      <c r="H62" s="11" t="str">
        <f t="shared" si="1"/>
        <v/>
      </c>
      <c r="K62"/>
      <c r="L62" s="21" t="str">
        <f t="shared" si="2"/>
        <v/>
      </c>
      <c r="U62" s="3" t="str">
        <f t="shared" si="3"/>
        <v/>
      </c>
      <c r="V62" s="4" t="str">
        <f t="shared" si="4"/>
        <v/>
      </c>
      <c r="W62" s="4" t="str">
        <f t="shared" si="5"/>
        <v/>
      </c>
      <c r="X62" t="str">
        <f t="shared" si="0"/>
        <v/>
      </c>
    </row>
    <row r="63" spans="3:24">
      <c r="C63" s="12"/>
      <c r="D63" s="1"/>
      <c r="E63" s="1"/>
      <c r="F63" s="1"/>
      <c r="G63" s="11" t="str">
        <f t="shared" si="7"/>
        <v/>
      </c>
      <c r="H63" s="11" t="str">
        <f t="shared" si="1"/>
        <v/>
      </c>
      <c r="K63"/>
      <c r="L63" s="21" t="str">
        <f t="shared" si="2"/>
        <v/>
      </c>
      <c r="U63" s="3" t="str">
        <f t="shared" si="3"/>
        <v/>
      </c>
      <c r="V63" s="4" t="str">
        <f t="shared" si="4"/>
        <v/>
      </c>
      <c r="W63" s="4" t="str">
        <f t="shared" si="5"/>
        <v/>
      </c>
      <c r="X63" t="str">
        <f t="shared" si="0"/>
        <v/>
      </c>
    </row>
    <row r="64" spans="3:24">
      <c r="C64" s="12"/>
      <c r="D64" s="1"/>
      <c r="E64" s="1"/>
      <c r="F64" s="1"/>
      <c r="G64" s="11" t="str">
        <f t="shared" si="7"/>
        <v/>
      </c>
      <c r="H64" s="11" t="str">
        <f t="shared" si="1"/>
        <v/>
      </c>
      <c r="K64"/>
      <c r="L64" s="21" t="str">
        <f t="shared" si="2"/>
        <v/>
      </c>
      <c r="U64" s="3" t="str">
        <f t="shared" si="3"/>
        <v/>
      </c>
      <c r="V64" s="4" t="str">
        <f t="shared" si="4"/>
        <v/>
      </c>
      <c r="W64" s="4" t="str">
        <f t="shared" si="5"/>
        <v/>
      </c>
      <c r="X64" t="str">
        <f t="shared" si="0"/>
        <v/>
      </c>
    </row>
    <row r="65" spans="3:24">
      <c r="C65" s="12"/>
      <c r="D65" s="1"/>
      <c r="E65" s="1"/>
      <c r="F65" s="1"/>
      <c r="G65" s="11" t="str">
        <f t="shared" si="7"/>
        <v/>
      </c>
      <c r="H65" s="11" t="str">
        <f t="shared" si="1"/>
        <v/>
      </c>
      <c r="K65"/>
      <c r="L65" s="21" t="str">
        <f t="shared" si="2"/>
        <v/>
      </c>
      <c r="U65" s="3" t="str">
        <f t="shared" si="3"/>
        <v/>
      </c>
      <c r="V65" s="4" t="str">
        <f t="shared" si="4"/>
        <v/>
      </c>
      <c r="W65" s="4" t="str">
        <f t="shared" si="5"/>
        <v/>
      </c>
      <c r="X65" t="str">
        <f t="shared" si="0"/>
        <v/>
      </c>
    </row>
    <row r="66" spans="3:24">
      <c r="C66" s="12"/>
      <c r="D66" s="1"/>
      <c r="E66" s="1"/>
      <c r="F66" s="1"/>
      <c r="G66" s="11" t="str">
        <f t="shared" ref="G66:G129" si="8">IF(X66="", "", TIMEVALUE("0:" &amp; X66))</f>
        <v/>
      </c>
      <c r="H66" s="11" t="str">
        <f t="shared" si="1"/>
        <v/>
      </c>
      <c r="K66"/>
      <c r="L66" s="21" t="str">
        <f t="shared" si="2"/>
        <v/>
      </c>
      <c r="U66" s="3" t="str">
        <f t="shared" si="3"/>
        <v/>
      </c>
      <c r="V66" s="4" t="str">
        <f t="shared" si="4"/>
        <v/>
      </c>
      <c r="W66" s="4" t="str">
        <f t="shared" si="5"/>
        <v/>
      </c>
      <c r="X66" t="str">
        <f t="shared" ref="X66:X129" si="9">IF(V66="", "", IF(MOD(W66,1)*60&gt;=59.5, TEXT(INT(W66)+1, "0") &amp; ":00", TEXT(INT(W66), "0") &amp; ":" &amp; TEXT(ROUND(MOD(W66,1)*60, 0), "00")))</f>
        <v/>
      </c>
    </row>
    <row r="67" spans="3:24">
      <c r="C67" s="12"/>
      <c r="D67" s="1"/>
      <c r="E67" s="1"/>
      <c r="F67" s="1"/>
      <c r="G67" s="11" t="str">
        <f t="shared" si="8"/>
        <v/>
      </c>
      <c r="H67" s="11" t="str">
        <f t="shared" ref="H67:H130" si="10">IF(X67="", "", TIMEVALUE("0:" &amp; X67))</f>
        <v/>
      </c>
      <c r="K67"/>
      <c r="L67" s="21" t="str">
        <f t="shared" ref="L67:L130" si="11">HYPERLINK("#'2024ds'!B" &amp; ROW(B67), "")</f>
        <v/>
      </c>
      <c r="U67" s="3" t="str">
        <f t="shared" ref="U67:U130" si="12">IF(C67="","",TIMEVALUE(C67))</f>
        <v/>
      </c>
      <c r="V67" s="4" t="str">
        <f t="shared" ref="V67:V130" si="13">IF(C67="","",HOUR(C67)*60 + MINUTE(C67) + SECOND(C67)/60)</f>
        <v/>
      </c>
      <c r="W67" s="4" t="str">
        <f t="shared" ref="W67:W130" si="14">IF(V67="","",V67/D67)</f>
        <v/>
      </c>
      <c r="X67" t="str">
        <f t="shared" si="9"/>
        <v/>
      </c>
    </row>
    <row r="68" spans="3:24">
      <c r="C68" s="12"/>
      <c r="D68" s="1"/>
      <c r="E68" s="1"/>
      <c r="F68" s="1"/>
      <c r="G68" s="11" t="str">
        <f t="shared" si="8"/>
        <v/>
      </c>
      <c r="H68" s="11" t="str">
        <f t="shared" si="10"/>
        <v/>
      </c>
      <c r="K68"/>
      <c r="L68" s="21" t="str">
        <f t="shared" si="11"/>
        <v/>
      </c>
      <c r="U68" s="3" t="str">
        <f t="shared" si="12"/>
        <v/>
      </c>
      <c r="V68" s="4" t="str">
        <f t="shared" si="13"/>
        <v/>
      </c>
      <c r="W68" s="4" t="str">
        <f t="shared" si="14"/>
        <v/>
      </c>
      <c r="X68" t="str">
        <f t="shared" si="9"/>
        <v/>
      </c>
    </row>
    <row r="69" spans="3:24">
      <c r="C69" s="12"/>
      <c r="D69" s="1"/>
      <c r="E69" s="1"/>
      <c r="F69" s="1"/>
      <c r="G69" s="11" t="str">
        <f t="shared" si="8"/>
        <v/>
      </c>
      <c r="H69" s="11" t="str">
        <f t="shared" si="10"/>
        <v/>
      </c>
      <c r="K69"/>
      <c r="L69" s="21" t="str">
        <f t="shared" si="11"/>
        <v/>
      </c>
      <c r="U69" s="3" t="str">
        <f t="shared" si="12"/>
        <v/>
      </c>
      <c r="V69" s="4" t="str">
        <f t="shared" si="13"/>
        <v/>
      </c>
      <c r="W69" s="4" t="str">
        <f t="shared" si="14"/>
        <v/>
      </c>
      <c r="X69" t="str">
        <f t="shared" si="9"/>
        <v/>
      </c>
    </row>
    <row r="70" spans="3:24">
      <c r="C70" s="12"/>
      <c r="D70" s="1"/>
      <c r="E70" s="1"/>
      <c r="F70" s="1"/>
      <c r="G70" s="11" t="str">
        <f t="shared" si="8"/>
        <v/>
      </c>
      <c r="H70" s="11" t="str">
        <f t="shared" si="10"/>
        <v/>
      </c>
      <c r="K70"/>
      <c r="L70" s="21" t="str">
        <f t="shared" si="11"/>
        <v/>
      </c>
      <c r="U70" s="3" t="str">
        <f t="shared" si="12"/>
        <v/>
      </c>
      <c r="V70" s="4" t="str">
        <f t="shared" si="13"/>
        <v/>
      </c>
      <c r="W70" s="4" t="str">
        <f t="shared" si="14"/>
        <v/>
      </c>
      <c r="X70" t="str">
        <f t="shared" si="9"/>
        <v/>
      </c>
    </row>
    <row r="71" spans="3:24">
      <c r="C71" s="12"/>
      <c r="D71" s="1"/>
      <c r="E71" s="1"/>
      <c r="F71" s="1"/>
      <c r="G71" s="11" t="str">
        <f t="shared" si="8"/>
        <v/>
      </c>
      <c r="H71" s="11" t="str">
        <f t="shared" si="10"/>
        <v/>
      </c>
      <c r="K71"/>
      <c r="L71" s="21" t="str">
        <f t="shared" si="11"/>
        <v/>
      </c>
      <c r="U71" s="3" t="str">
        <f t="shared" si="12"/>
        <v/>
      </c>
      <c r="V71" s="4" t="str">
        <f t="shared" si="13"/>
        <v/>
      </c>
      <c r="W71" s="4" t="str">
        <f t="shared" si="14"/>
        <v/>
      </c>
      <c r="X71" t="str">
        <f t="shared" si="9"/>
        <v/>
      </c>
    </row>
    <row r="72" spans="3:24">
      <c r="C72" s="12"/>
      <c r="D72" s="1"/>
      <c r="E72" s="1"/>
      <c r="F72" s="1"/>
      <c r="G72" s="11" t="str">
        <f t="shared" si="8"/>
        <v/>
      </c>
      <c r="H72" s="11" t="str">
        <f t="shared" si="10"/>
        <v/>
      </c>
      <c r="K72"/>
      <c r="L72" s="21" t="str">
        <f t="shared" si="11"/>
        <v/>
      </c>
      <c r="U72" s="3" t="str">
        <f t="shared" si="12"/>
        <v/>
      </c>
      <c r="V72" s="4" t="str">
        <f t="shared" si="13"/>
        <v/>
      </c>
      <c r="W72" s="4" t="str">
        <f t="shared" si="14"/>
        <v/>
      </c>
      <c r="X72" t="str">
        <f t="shared" si="9"/>
        <v/>
      </c>
    </row>
    <row r="73" spans="3:24">
      <c r="C73" s="12"/>
      <c r="D73" s="1"/>
      <c r="E73" s="1"/>
      <c r="F73" s="1"/>
      <c r="G73" s="11" t="str">
        <f t="shared" si="8"/>
        <v/>
      </c>
      <c r="H73" s="11" t="str">
        <f t="shared" si="10"/>
        <v/>
      </c>
      <c r="K73"/>
      <c r="L73" s="21" t="str">
        <f t="shared" si="11"/>
        <v/>
      </c>
      <c r="U73" s="3" t="str">
        <f t="shared" si="12"/>
        <v/>
      </c>
      <c r="V73" s="4" t="str">
        <f t="shared" si="13"/>
        <v/>
      </c>
      <c r="W73" s="4" t="str">
        <f t="shared" si="14"/>
        <v/>
      </c>
      <c r="X73" t="str">
        <f t="shared" si="9"/>
        <v/>
      </c>
    </row>
    <row r="74" spans="3:24">
      <c r="C74" s="12"/>
      <c r="D74" s="1"/>
      <c r="E74" s="1"/>
      <c r="F74" s="1"/>
      <c r="G74" s="11" t="str">
        <f t="shared" si="8"/>
        <v/>
      </c>
      <c r="H74" s="11" t="str">
        <f t="shared" si="10"/>
        <v/>
      </c>
      <c r="K74"/>
      <c r="L74" s="21" t="str">
        <f t="shared" si="11"/>
        <v/>
      </c>
      <c r="U74" s="3" t="str">
        <f t="shared" si="12"/>
        <v/>
      </c>
      <c r="V74" s="4" t="str">
        <f t="shared" si="13"/>
        <v/>
      </c>
      <c r="W74" s="4" t="str">
        <f t="shared" si="14"/>
        <v/>
      </c>
      <c r="X74" t="str">
        <f t="shared" si="9"/>
        <v/>
      </c>
    </row>
    <row r="75" spans="3:24">
      <c r="C75" s="12"/>
      <c r="D75" s="1"/>
      <c r="E75" s="1"/>
      <c r="F75" s="1"/>
      <c r="G75" s="11" t="str">
        <f t="shared" si="8"/>
        <v/>
      </c>
      <c r="H75" s="11" t="str">
        <f t="shared" si="10"/>
        <v/>
      </c>
      <c r="K75"/>
      <c r="L75" s="21" t="str">
        <f t="shared" si="11"/>
        <v/>
      </c>
      <c r="U75" s="3" t="str">
        <f t="shared" si="12"/>
        <v/>
      </c>
      <c r="V75" s="4" t="str">
        <f t="shared" si="13"/>
        <v/>
      </c>
      <c r="W75" s="4" t="str">
        <f t="shared" si="14"/>
        <v/>
      </c>
      <c r="X75" t="str">
        <f t="shared" si="9"/>
        <v/>
      </c>
    </row>
    <row r="76" spans="3:24">
      <c r="C76" s="12"/>
      <c r="D76" s="1"/>
      <c r="E76" s="1"/>
      <c r="F76" s="1"/>
      <c r="G76" s="11" t="str">
        <f t="shared" si="8"/>
        <v/>
      </c>
      <c r="H76" s="11" t="str">
        <f t="shared" si="10"/>
        <v/>
      </c>
      <c r="K76"/>
      <c r="L76" s="21" t="str">
        <f t="shared" si="11"/>
        <v/>
      </c>
      <c r="U76" s="3" t="str">
        <f t="shared" si="12"/>
        <v/>
      </c>
      <c r="V76" s="4" t="str">
        <f t="shared" si="13"/>
        <v/>
      </c>
      <c r="W76" s="4" t="str">
        <f t="shared" si="14"/>
        <v/>
      </c>
      <c r="X76" t="str">
        <f t="shared" si="9"/>
        <v/>
      </c>
    </row>
    <row r="77" spans="3:24">
      <c r="C77" s="12"/>
      <c r="D77" s="1"/>
      <c r="E77" s="1"/>
      <c r="F77" s="1"/>
      <c r="G77" s="11" t="str">
        <f t="shared" si="8"/>
        <v/>
      </c>
      <c r="H77" s="11" t="str">
        <f t="shared" si="10"/>
        <v/>
      </c>
      <c r="K77"/>
      <c r="L77" s="21" t="str">
        <f t="shared" si="11"/>
        <v/>
      </c>
      <c r="U77" s="3" t="str">
        <f t="shared" si="12"/>
        <v/>
      </c>
      <c r="V77" s="4" t="str">
        <f t="shared" si="13"/>
        <v/>
      </c>
      <c r="W77" s="4" t="str">
        <f t="shared" si="14"/>
        <v/>
      </c>
      <c r="X77" t="str">
        <f t="shared" si="9"/>
        <v/>
      </c>
    </row>
    <row r="78" spans="3:24">
      <c r="C78" s="12"/>
      <c r="D78" s="1"/>
      <c r="E78" s="1"/>
      <c r="F78" s="1"/>
      <c r="G78" s="11" t="str">
        <f t="shared" si="8"/>
        <v/>
      </c>
      <c r="H78" s="11" t="str">
        <f t="shared" si="10"/>
        <v/>
      </c>
      <c r="K78"/>
      <c r="L78" s="21" t="str">
        <f t="shared" si="11"/>
        <v/>
      </c>
      <c r="U78" s="3" t="str">
        <f t="shared" si="12"/>
        <v/>
      </c>
      <c r="V78" s="4" t="str">
        <f t="shared" si="13"/>
        <v/>
      </c>
      <c r="W78" s="4" t="str">
        <f t="shared" si="14"/>
        <v/>
      </c>
      <c r="X78" t="str">
        <f t="shared" si="9"/>
        <v/>
      </c>
    </row>
    <row r="79" spans="3:24">
      <c r="C79" s="12"/>
      <c r="D79" s="1"/>
      <c r="E79" s="1"/>
      <c r="F79" s="1"/>
      <c r="G79" s="11" t="str">
        <f t="shared" si="8"/>
        <v/>
      </c>
      <c r="H79" s="11" t="str">
        <f t="shared" si="10"/>
        <v/>
      </c>
      <c r="K79"/>
      <c r="L79" s="21" t="str">
        <f t="shared" si="11"/>
        <v/>
      </c>
      <c r="U79" s="3" t="str">
        <f t="shared" si="12"/>
        <v/>
      </c>
      <c r="V79" s="4" t="str">
        <f t="shared" si="13"/>
        <v/>
      </c>
      <c r="W79" s="4" t="str">
        <f t="shared" si="14"/>
        <v/>
      </c>
      <c r="X79" t="str">
        <f t="shared" si="9"/>
        <v/>
      </c>
    </row>
    <row r="80" spans="3:24">
      <c r="C80" s="12"/>
      <c r="D80" s="1"/>
      <c r="E80" s="1"/>
      <c r="F80" s="1"/>
      <c r="G80" s="11" t="str">
        <f t="shared" si="8"/>
        <v/>
      </c>
      <c r="H80" s="11" t="str">
        <f t="shared" si="10"/>
        <v/>
      </c>
      <c r="K80"/>
      <c r="L80" s="21" t="str">
        <f t="shared" si="11"/>
        <v/>
      </c>
      <c r="U80" s="3" t="str">
        <f t="shared" si="12"/>
        <v/>
      </c>
      <c r="V80" s="4" t="str">
        <f t="shared" si="13"/>
        <v/>
      </c>
      <c r="W80" s="4" t="str">
        <f t="shared" si="14"/>
        <v/>
      </c>
      <c r="X80" t="str">
        <f t="shared" si="9"/>
        <v/>
      </c>
    </row>
    <row r="81" spans="3:24">
      <c r="C81" s="12"/>
      <c r="D81" s="1"/>
      <c r="E81" s="1"/>
      <c r="F81" s="1"/>
      <c r="G81" s="11" t="str">
        <f t="shared" si="8"/>
        <v/>
      </c>
      <c r="H81" s="11" t="str">
        <f t="shared" si="10"/>
        <v/>
      </c>
      <c r="K81"/>
      <c r="L81" s="21" t="str">
        <f t="shared" si="11"/>
        <v/>
      </c>
      <c r="U81" s="3" t="str">
        <f t="shared" si="12"/>
        <v/>
      </c>
      <c r="V81" s="4" t="str">
        <f t="shared" si="13"/>
        <v/>
      </c>
      <c r="W81" s="4" t="str">
        <f t="shared" si="14"/>
        <v/>
      </c>
      <c r="X81" t="str">
        <f t="shared" si="9"/>
        <v/>
      </c>
    </row>
    <row r="82" spans="3:24">
      <c r="C82" s="12"/>
      <c r="D82" s="1"/>
      <c r="E82" s="1"/>
      <c r="F82" s="1"/>
      <c r="G82" s="11" t="str">
        <f t="shared" si="8"/>
        <v/>
      </c>
      <c r="H82" s="11" t="str">
        <f t="shared" si="10"/>
        <v/>
      </c>
      <c r="K82"/>
      <c r="L82" s="21" t="str">
        <f t="shared" si="11"/>
        <v/>
      </c>
      <c r="U82" s="3" t="str">
        <f t="shared" si="12"/>
        <v/>
      </c>
      <c r="V82" s="4" t="str">
        <f t="shared" si="13"/>
        <v/>
      </c>
      <c r="W82" s="4" t="str">
        <f t="shared" si="14"/>
        <v/>
      </c>
      <c r="X82" t="str">
        <f t="shared" si="9"/>
        <v/>
      </c>
    </row>
    <row r="83" spans="3:24">
      <c r="C83" s="12"/>
      <c r="D83" s="1"/>
      <c r="E83" s="1"/>
      <c r="F83" s="1"/>
      <c r="G83" s="11" t="str">
        <f t="shared" si="8"/>
        <v/>
      </c>
      <c r="H83" s="11" t="str">
        <f t="shared" si="10"/>
        <v/>
      </c>
      <c r="K83"/>
      <c r="L83" s="21" t="str">
        <f t="shared" si="11"/>
        <v/>
      </c>
      <c r="U83" s="3" t="str">
        <f t="shared" si="12"/>
        <v/>
      </c>
      <c r="V83" s="4" t="str">
        <f t="shared" si="13"/>
        <v/>
      </c>
      <c r="W83" s="4" t="str">
        <f t="shared" si="14"/>
        <v/>
      </c>
      <c r="X83" t="str">
        <f t="shared" si="9"/>
        <v/>
      </c>
    </row>
    <row r="84" spans="3:24">
      <c r="C84" s="12"/>
      <c r="D84" s="1"/>
      <c r="E84" s="1"/>
      <c r="F84" s="1"/>
      <c r="G84" s="11" t="str">
        <f t="shared" si="8"/>
        <v/>
      </c>
      <c r="H84" s="11" t="str">
        <f t="shared" si="10"/>
        <v/>
      </c>
      <c r="K84"/>
      <c r="L84" s="21" t="str">
        <f t="shared" si="11"/>
        <v/>
      </c>
      <c r="U84" s="3" t="str">
        <f t="shared" si="12"/>
        <v/>
      </c>
      <c r="V84" s="4" t="str">
        <f t="shared" si="13"/>
        <v/>
      </c>
      <c r="W84" s="4" t="str">
        <f t="shared" si="14"/>
        <v/>
      </c>
      <c r="X84" t="str">
        <f t="shared" si="9"/>
        <v/>
      </c>
    </row>
    <row r="85" spans="3:24">
      <c r="C85" s="12"/>
      <c r="D85" s="1"/>
      <c r="E85" s="1"/>
      <c r="F85" s="1"/>
      <c r="G85" s="11" t="str">
        <f t="shared" si="8"/>
        <v/>
      </c>
      <c r="H85" s="11" t="str">
        <f t="shared" si="10"/>
        <v/>
      </c>
      <c r="K85"/>
      <c r="L85" s="21" t="str">
        <f t="shared" si="11"/>
        <v/>
      </c>
      <c r="U85" s="3" t="str">
        <f t="shared" si="12"/>
        <v/>
      </c>
      <c r="V85" s="4" t="str">
        <f t="shared" si="13"/>
        <v/>
      </c>
      <c r="W85" s="4" t="str">
        <f t="shared" si="14"/>
        <v/>
      </c>
      <c r="X85" t="str">
        <f t="shared" si="9"/>
        <v/>
      </c>
    </row>
    <row r="86" spans="3:24">
      <c r="C86" s="12"/>
      <c r="D86" s="1"/>
      <c r="E86" s="1"/>
      <c r="F86" s="1"/>
      <c r="G86" s="11" t="str">
        <f t="shared" si="8"/>
        <v/>
      </c>
      <c r="H86" s="11" t="str">
        <f t="shared" si="10"/>
        <v/>
      </c>
      <c r="K86"/>
      <c r="L86" s="21" t="str">
        <f t="shared" si="11"/>
        <v/>
      </c>
      <c r="U86" s="3" t="str">
        <f t="shared" si="12"/>
        <v/>
      </c>
      <c r="V86" s="4" t="str">
        <f t="shared" si="13"/>
        <v/>
      </c>
      <c r="W86" s="4" t="str">
        <f t="shared" si="14"/>
        <v/>
      </c>
      <c r="X86" t="str">
        <f t="shared" si="9"/>
        <v/>
      </c>
    </row>
    <row r="87" spans="3:24">
      <c r="C87" s="12"/>
      <c r="D87" s="1"/>
      <c r="E87" s="1"/>
      <c r="F87" s="1"/>
      <c r="G87" s="11" t="str">
        <f t="shared" si="8"/>
        <v/>
      </c>
      <c r="H87" s="11" t="str">
        <f t="shared" si="10"/>
        <v/>
      </c>
      <c r="K87"/>
      <c r="L87" s="21" t="str">
        <f t="shared" si="11"/>
        <v/>
      </c>
      <c r="U87" s="3" t="str">
        <f t="shared" si="12"/>
        <v/>
      </c>
      <c r="V87" s="4" t="str">
        <f t="shared" si="13"/>
        <v/>
      </c>
      <c r="W87" s="4" t="str">
        <f t="shared" si="14"/>
        <v/>
      </c>
      <c r="X87" t="str">
        <f t="shared" si="9"/>
        <v/>
      </c>
    </row>
    <row r="88" spans="3:24">
      <c r="C88" s="12"/>
      <c r="D88" s="1"/>
      <c r="E88" s="1"/>
      <c r="F88" s="1"/>
      <c r="G88" s="11" t="str">
        <f t="shared" si="8"/>
        <v/>
      </c>
      <c r="H88" s="11" t="str">
        <f t="shared" si="10"/>
        <v/>
      </c>
      <c r="K88"/>
      <c r="L88" s="21" t="str">
        <f t="shared" si="11"/>
        <v/>
      </c>
      <c r="U88" s="3" t="str">
        <f t="shared" si="12"/>
        <v/>
      </c>
      <c r="V88" s="4" t="str">
        <f t="shared" si="13"/>
        <v/>
      </c>
      <c r="W88" s="4" t="str">
        <f t="shared" si="14"/>
        <v/>
      </c>
      <c r="X88" t="str">
        <f t="shared" si="9"/>
        <v/>
      </c>
    </row>
    <row r="89" spans="3:24">
      <c r="C89" s="12"/>
      <c r="D89" s="1"/>
      <c r="E89" s="1"/>
      <c r="F89" s="1"/>
      <c r="G89" s="11" t="str">
        <f t="shared" si="8"/>
        <v/>
      </c>
      <c r="H89" s="11" t="str">
        <f t="shared" si="10"/>
        <v/>
      </c>
      <c r="K89"/>
      <c r="L89" s="21" t="str">
        <f t="shared" si="11"/>
        <v/>
      </c>
      <c r="U89" s="3" t="str">
        <f t="shared" si="12"/>
        <v/>
      </c>
      <c r="V89" s="4" t="str">
        <f t="shared" si="13"/>
        <v/>
      </c>
      <c r="W89" s="4" t="str">
        <f t="shared" si="14"/>
        <v/>
      </c>
      <c r="X89" t="str">
        <f t="shared" si="9"/>
        <v/>
      </c>
    </row>
    <row r="90" spans="3:24">
      <c r="C90" s="12"/>
      <c r="D90" s="1"/>
      <c r="E90" s="1"/>
      <c r="F90" s="1"/>
      <c r="G90" s="11" t="str">
        <f t="shared" si="8"/>
        <v/>
      </c>
      <c r="H90" s="11" t="str">
        <f t="shared" si="10"/>
        <v/>
      </c>
      <c r="K90"/>
      <c r="L90" s="21" t="str">
        <f t="shared" si="11"/>
        <v/>
      </c>
      <c r="U90" s="3" t="str">
        <f t="shared" si="12"/>
        <v/>
      </c>
      <c r="V90" s="4" t="str">
        <f t="shared" si="13"/>
        <v/>
      </c>
      <c r="W90" s="4" t="str">
        <f t="shared" si="14"/>
        <v/>
      </c>
      <c r="X90" t="str">
        <f t="shared" si="9"/>
        <v/>
      </c>
    </row>
    <row r="91" spans="3:24">
      <c r="C91" s="12"/>
      <c r="D91" s="1"/>
      <c r="E91" s="1"/>
      <c r="F91" s="1"/>
      <c r="G91" s="11" t="str">
        <f t="shared" si="8"/>
        <v/>
      </c>
      <c r="H91" s="11" t="str">
        <f t="shared" si="10"/>
        <v/>
      </c>
      <c r="K91"/>
      <c r="L91" s="21" t="str">
        <f t="shared" si="11"/>
        <v/>
      </c>
      <c r="U91" s="3" t="str">
        <f t="shared" si="12"/>
        <v/>
      </c>
      <c r="V91" s="4" t="str">
        <f t="shared" si="13"/>
        <v/>
      </c>
      <c r="W91" s="4" t="str">
        <f t="shared" si="14"/>
        <v/>
      </c>
      <c r="X91" t="str">
        <f t="shared" si="9"/>
        <v/>
      </c>
    </row>
    <row r="92" spans="3:24">
      <c r="C92" s="12"/>
      <c r="D92" s="1"/>
      <c r="E92" s="1"/>
      <c r="F92" s="1"/>
      <c r="G92" s="11" t="str">
        <f t="shared" si="8"/>
        <v/>
      </c>
      <c r="H92" s="11" t="str">
        <f t="shared" si="10"/>
        <v/>
      </c>
      <c r="K92"/>
      <c r="L92" s="21" t="str">
        <f t="shared" si="11"/>
        <v/>
      </c>
      <c r="U92" s="3" t="str">
        <f t="shared" si="12"/>
        <v/>
      </c>
      <c r="V92" s="4" t="str">
        <f t="shared" si="13"/>
        <v/>
      </c>
      <c r="W92" s="4" t="str">
        <f t="shared" si="14"/>
        <v/>
      </c>
      <c r="X92" t="str">
        <f t="shared" si="9"/>
        <v/>
      </c>
    </row>
    <row r="93" spans="3:24">
      <c r="C93" s="12"/>
      <c r="D93" s="1"/>
      <c r="E93" s="1"/>
      <c r="F93" s="1"/>
      <c r="G93" s="11" t="str">
        <f t="shared" si="8"/>
        <v/>
      </c>
      <c r="H93" s="11" t="str">
        <f t="shared" si="10"/>
        <v/>
      </c>
      <c r="K93"/>
      <c r="L93" s="21" t="str">
        <f t="shared" si="11"/>
        <v/>
      </c>
      <c r="U93" s="3" t="str">
        <f t="shared" si="12"/>
        <v/>
      </c>
      <c r="V93" s="4" t="str">
        <f t="shared" si="13"/>
        <v/>
      </c>
      <c r="W93" s="4" t="str">
        <f t="shared" si="14"/>
        <v/>
      </c>
      <c r="X93" t="str">
        <f t="shared" si="9"/>
        <v/>
      </c>
    </row>
    <row r="94" spans="3:24">
      <c r="C94" s="12"/>
      <c r="D94" s="1"/>
      <c r="E94" s="1"/>
      <c r="F94" s="1"/>
      <c r="G94" s="11" t="str">
        <f t="shared" si="8"/>
        <v/>
      </c>
      <c r="H94" s="11" t="str">
        <f t="shared" si="10"/>
        <v/>
      </c>
      <c r="K94"/>
      <c r="L94" s="21" t="str">
        <f t="shared" si="11"/>
        <v/>
      </c>
      <c r="U94" s="3" t="str">
        <f t="shared" si="12"/>
        <v/>
      </c>
      <c r="V94" s="4" t="str">
        <f t="shared" si="13"/>
        <v/>
      </c>
      <c r="W94" s="4" t="str">
        <f t="shared" si="14"/>
        <v/>
      </c>
      <c r="X94" t="str">
        <f t="shared" si="9"/>
        <v/>
      </c>
    </row>
    <row r="95" spans="3:24">
      <c r="C95" s="12"/>
      <c r="D95" s="1"/>
      <c r="E95" s="1"/>
      <c r="F95" s="1"/>
      <c r="G95" s="11" t="str">
        <f t="shared" si="8"/>
        <v/>
      </c>
      <c r="H95" s="11" t="str">
        <f t="shared" si="10"/>
        <v/>
      </c>
      <c r="K95"/>
      <c r="L95" s="21" t="str">
        <f t="shared" si="11"/>
        <v/>
      </c>
      <c r="U95" s="3" t="str">
        <f t="shared" si="12"/>
        <v/>
      </c>
      <c r="V95" s="4" t="str">
        <f t="shared" si="13"/>
        <v/>
      </c>
      <c r="W95" s="4" t="str">
        <f t="shared" si="14"/>
        <v/>
      </c>
      <c r="X95" t="str">
        <f t="shared" si="9"/>
        <v/>
      </c>
    </row>
    <row r="96" spans="3:24">
      <c r="C96" s="12"/>
      <c r="D96" s="1"/>
      <c r="E96" s="1"/>
      <c r="F96" s="1"/>
      <c r="G96" s="11" t="str">
        <f t="shared" si="8"/>
        <v/>
      </c>
      <c r="H96" s="11" t="str">
        <f t="shared" si="10"/>
        <v/>
      </c>
      <c r="K96"/>
      <c r="L96" s="21" t="str">
        <f t="shared" si="11"/>
        <v/>
      </c>
      <c r="U96" s="3" t="str">
        <f t="shared" si="12"/>
        <v/>
      </c>
      <c r="V96" s="4" t="str">
        <f t="shared" si="13"/>
        <v/>
      </c>
      <c r="W96" s="4" t="str">
        <f t="shared" si="14"/>
        <v/>
      </c>
      <c r="X96" t="str">
        <f t="shared" si="9"/>
        <v/>
      </c>
    </row>
    <row r="97" spans="3:24">
      <c r="C97" s="12"/>
      <c r="D97" s="1"/>
      <c r="E97" s="1"/>
      <c r="F97" s="1"/>
      <c r="G97" s="11" t="str">
        <f t="shared" si="8"/>
        <v/>
      </c>
      <c r="H97" s="11" t="str">
        <f t="shared" si="10"/>
        <v/>
      </c>
      <c r="K97"/>
      <c r="L97" s="21" t="str">
        <f t="shared" si="11"/>
        <v/>
      </c>
      <c r="U97" s="3" t="str">
        <f t="shared" si="12"/>
        <v/>
      </c>
      <c r="V97" s="4" t="str">
        <f t="shared" si="13"/>
        <v/>
      </c>
      <c r="W97" s="4" t="str">
        <f t="shared" si="14"/>
        <v/>
      </c>
      <c r="X97" t="str">
        <f t="shared" si="9"/>
        <v/>
      </c>
    </row>
    <row r="98" spans="3:24">
      <c r="C98" s="12"/>
      <c r="D98" s="1"/>
      <c r="E98" s="1"/>
      <c r="F98" s="1"/>
      <c r="G98" s="11" t="str">
        <f t="shared" si="8"/>
        <v/>
      </c>
      <c r="H98" s="11" t="str">
        <f t="shared" si="10"/>
        <v/>
      </c>
      <c r="K98"/>
      <c r="L98" s="21" t="str">
        <f t="shared" si="11"/>
        <v/>
      </c>
      <c r="U98" s="3" t="str">
        <f t="shared" si="12"/>
        <v/>
      </c>
      <c r="V98" s="4" t="str">
        <f t="shared" si="13"/>
        <v/>
      </c>
      <c r="W98" s="4" t="str">
        <f t="shared" si="14"/>
        <v/>
      </c>
      <c r="X98" t="str">
        <f t="shared" si="9"/>
        <v/>
      </c>
    </row>
    <row r="99" spans="3:24">
      <c r="C99" s="12"/>
      <c r="D99" s="1"/>
      <c r="E99" s="1"/>
      <c r="F99" s="1"/>
      <c r="G99" s="11" t="str">
        <f t="shared" si="8"/>
        <v/>
      </c>
      <c r="H99" s="11" t="str">
        <f t="shared" si="10"/>
        <v/>
      </c>
      <c r="K99"/>
      <c r="L99" s="21" t="str">
        <f t="shared" si="11"/>
        <v/>
      </c>
      <c r="U99" s="3" t="str">
        <f t="shared" si="12"/>
        <v/>
      </c>
      <c r="V99" s="4" t="str">
        <f t="shared" si="13"/>
        <v/>
      </c>
      <c r="W99" s="4" t="str">
        <f t="shared" si="14"/>
        <v/>
      </c>
      <c r="X99" t="str">
        <f t="shared" si="9"/>
        <v/>
      </c>
    </row>
    <row r="100" spans="3:24">
      <c r="C100" s="12"/>
      <c r="D100" s="1"/>
      <c r="E100" s="1"/>
      <c r="F100" s="1"/>
      <c r="G100" s="11" t="str">
        <f t="shared" si="8"/>
        <v/>
      </c>
      <c r="H100" s="11" t="str">
        <f t="shared" si="10"/>
        <v/>
      </c>
      <c r="K100"/>
      <c r="L100" s="21" t="str">
        <f t="shared" si="11"/>
        <v/>
      </c>
      <c r="U100" s="3" t="str">
        <f t="shared" si="12"/>
        <v/>
      </c>
      <c r="V100" s="4" t="str">
        <f t="shared" si="13"/>
        <v/>
      </c>
      <c r="W100" s="4" t="str">
        <f t="shared" si="14"/>
        <v/>
      </c>
      <c r="X100" t="str">
        <f t="shared" si="9"/>
        <v/>
      </c>
    </row>
    <row r="101" spans="3:24">
      <c r="C101" s="12"/>
      <c r="D101" s="1"/>
      <c r="E101" s="1"/>
      <c r="F101" s="1"/>
      <c r="G101" s="11" t="str">
        <f t="shared" si="8"/>
        <v/>
      </c>
      <c r="H101" s="11" t="str">
        <f t="shared" si="10"/>
        <v/>
      </c>
      <c r="K101"/>
      <c r="L101" s="21" t="str">
        <f t="shared" si="11"/>
        <v/>
      </c>
      <c r="U101" s="3" t="str">
        <f t="shared" si="12"/>
        <v/>
      </c>
      <c r="V101" s="4" t="str">
        <f t="shared" si="13"/>
        <v/>
      </c>
      <c r="W101" s="4" t="str">
        <f t="shared" si="14"/>
        <v/>
      </c>
      <c r="X101" t="str">
        <f t="shared" si="9"/>
        <v/>
      </c>
    </row>
    <row r="102" spans="3:24">
      <c r="C102" s="12"/>
      <c r="D102" s="1"/>
      <c r="E102" s="1"/>
      <c r="F102" s="1"/>
      <c r="G102" s="11" t="str">
        <f t="shared" si="8"/>
        <v/>
      </c>
      <c r="H102" s="11" t="str">
        <f t="shared" si="10"/>
        <v/>
      </c>
      <c r="K102"/>
      <c r="L102" s="21" t="str">
        <f t="shared" si="11"/>
        <v/>
      </c>
      <c r="U102" s="3" t="str">
        <f t="shared" si="12"/>
        <v/>
      </c>
      <c r="V102" s="4" t="str">
        <f t="shared" si="13"/>
        <v/>
      </c>
      <c r="W102" s="4" t="str">
        <f t="shared" si="14"/>
        <v/>
      </c>
      <c r="X102" t="str">
        <f t="shared" si="9"/>
        <v/>
      </c>
    </row>
    <row r="103" spans="3:24">
      <c r="C103" s="12"/>
      <c r="D103" s="1"/>
      <c r="E103" s="1"/>
      <c r="F103" s="1"/>
      <c r="G103" s="11" t="str">
        <f t="shared" si="8"/>
        <v/>
      </c>
      <c r="H103" s="11" t="str">
        <f t="shared" si="10"/>
        <v/>
      </c>
      <c r="K103"/>
      <c r="L103" s="21" t="str">
        <f t="shared" si="11"/>
        <v/>
      </c>
      <c r="U103" s="3" t="str">
        <f t="shared" si="12"/>
        <v/>
      </c>
      <c r="V103" s="4" t="str">
        <f t="shared" si="13"/>
        <v/>
      </c>
      <c r="W103" s="4" t="str">
        <f t="shared" si="14"/>
        <v/>
      </c>
      <c r="X103" t="str">
        <f t="shared" si="9"/>
        <v/>
      </c>
    </row>
    <row r="104" spans="3:24">
      <c r="C104" s="12"/>
      <c r="D104" s="1"/>
      <c r="E104" s="1"/>
      <c r="F104" s="1"/>
      <c r="G104" s="11" t="str">
        <f t="shared" si="8"/>
        <v/>
      </c>
      <c r="H104" s="11" t="str">
        <f t="shared" si="10"/>
        <v/>
      </c>
      <c r="K104"/>
      <c r="L104" s="21" t="str">
        <f t="shared" si="11"/>
        <v/>
      </c>
      <c r="U104" s="3" t="str">
        <f t="shared" si="12"/>
        <v/>
      </c>
      <c r="V104" s="4" t="str">
        <f t="shared" si="13"/>
        <v/>
      </c>
      <c r="W104" s="4" t="str">
        <f t="shared" si="14"/>
        <v/>
      </c>
      <c r="X104" t="str">
        <f t="shared" si="9"/>
        <v/>
      </c>
    </row>
    <row r="105" spans="3:24">
      <c r="C105" s="12"/>
      <c r="D105" s="1"/>
      <c r="E105" s="1"/>
      <c r="F105" s="1"/>
      <c r="G105" s="11" t="str">
        <f t="shared" si="8"/>
        <v/>
      </c>
      <c r="H105" s="11" t="str">
        <f t="shared" si="10"/>
        <v/>
      </c>
      <c r="K105"/>
      <c r="L105" s="21" t="str">
        <f t="shared" si="11"/>
        <v/>
      </c>
      <c r="U105" s="3" t="str">
        <f t="shared" si="12"/>
        <v/>
      </c>
      <c r="V105" s="4" t="str">
        <f t="shared" si="13"/>
        <v/>
      </c>
      <c r="W105" s="4" t="str">
        <f t="shared" si="14"/>
        <v/>
      </c>
      <c r="X105" t="str">
        <f t="shared" si="9"/>
        <v/>
      </c>
    </row>
    <row r="106" spans="3:24">
      <c r="C106" s="12"/>
      <c r="D106" s="1"/>
      <c r="E106" s="1"/>
      <c r="F106" s="1"/>
      <c r="G106" s="11" t="str">
        <f t="shared" si="8"/>
        <v/>
      </c>
      <c r="H106" s="11" t="str">
        <f t="shared" si="10"/>
        <v/>
      </c>
      <c r="K106"/>
      <c r="L106" s="21" t="str">
        <f t="shared" si="11"/>
        <v/>
      </c>
      <c r="U106" s="3" t="str">
        <f t="shared" si="12"/>
        <v/>
      </c>
      <c r="V106" s="4" t="str">
        <f t="shared" si="13"/>
        <v/>
      </c>
      <c r="W106" s="4" t="str">
        <f t="shared" si="14"/>
        <v/>
      </c>
      <c r="X106" t="str">
        <f t="shared" si="9"/>
        <v/>
      </c>
    </row>
    <row r="107" spans="3:24">
      <c r="C107" s="12"/>
      <c r="D107" s="1"/>
      <c r="E107" s="1"/>
      <c r="F107" s="1"/>
      <c r="G107" s="11" t="str">
        <f t="shared" si="8"/>
        <v/>
      </c>
      <c r="H107" s="11" t="str">
        <f t="shared" si="10"/>
        <v/>
      </c>
      <c r="K107"/>
      <c r="L107" s="21" t="str">
        <f t="shared" si="11"/>
        <v/>
      </c>
      <c r="U107" s="3" t="str">
        <f t="shared" si="12"/>
        <v/>
      </c>
      <c r="V107" s="4" t="str">
        <f t="shared" si="13"/>
        <v/>
      </c>
      <c r="W107" s="4" t="str">
        <f t="shared" si="14"/>
        <v/>
      </c>
      <c r="X107" t="str">
        <f t="shared" si="9"/>
        <v/>
      </c>
    </row>
    <row r="108" spans="3:24">
      <c r="C108" s="12"/>
      <c r="D108" s="1"/>
      <c r="E108" s="1"/>
      <c r="F108" s="1"/>
      <c r="G108" s="11" t="str">
        <f t="shared" si="8"/>
        <v/>
      </c>
      <c r="H108" s="11" t="str">
        <f t="shared" si="10"/>
        <v/>
      </c>
      <c r="K108"/>
      <c r="L108" s="21" t="str">
        <f t="shared" si="11"/>
        <v/>
      </c>
      <c r="U108" s="3" t="str">
        <f t="shared" si="12"/>
        <v/>
      </c>
      <c r="V108" s="4" t="str">
        <f t="shared" si="13"/>
        <v/>
      </c>
      <c r="W108" s="4" t="str">
        <f t="shared" si="14"/>
        <v/>
      </c>
      <c r="X108" t="str">
        <f t="shared" si="9"/>
        <v/>
      </c>
    </row>
    <row r="109" spans="3:24">
      <c r="C109" s="12"/>
      <c r="D109" s="1"/>
      <c r="E109" s="1"/>
      <c r="F109" s="1"/>
      <c r="G109" s="11" t="str">
        <f t="shared" si="8"/>
        <v/>
      </c>
      <c r="H109" s="11" t="str">
        <f t="shared" si="10"/>
        <v/>
      </c>
      <c r="K109"/>
      <c r="L109" s="21" t="str">
        <f t="shared" si="11"/>
        <v/>
      </c>
      <c r="U109" s="3" t="str">
        <f t="shared" si="12"/>
        <v/>
      </c>
      <c r="V109" s="4" t="str">
        <f t="shared" si="13"/>
        <v/>
      </c>
      <c r="W109" s="4" t="str">
        <f t="shared" si="14"/>
        <v/>
      </c>
      <c r="X109" t="str">
        <f t="shared" si="9"/>
        <v/>
      </c>
    </row>
    <row r="110" spans="3:24">
      <c r="C110" s="12"/>
      <c r="D110" s="1"/>
      <c r="E110" s="1"/>
      <c r="F110" s="1"/>
      <c r="G110" s="11" t="str">
        <f t="shared" si="8"/>
        <v/>
      </c>
      <c r="H110" s="11" t="str">
        <f t="shared" si="10"/>
        <v/>
      </c>
      <c r="K110"/>
      <c r="L110" s="21" t="str">
        <f t="shared" si="11"/>
        <v/>
      </c>
      <c r="U110" s="3" t="str">
        <f t="shared" si="12"/>
        <v/>
      </c>
      <c r="V110" s="4" t="str">
        <f t="shared" si="13"/>
        <v/>
      </c>
      <c r="W110" s="4" t="str">
        <f t="shared" si="14"/>
        <v/>
      </c>
      <c r="X110" t="str">
        <f t="shared" si="9"/>
        <v/>
      </c>
    </row>
    <row r="111" spans="3:24">
      <c r="C111" s="12"/>
      <c r="D111" s="1"/>
      <c r="E111" s="1"/>
      <c r="F111" s="1"/>
      <c r="G111" s="11" t="str">
        <f t="shared" si="8"/>
        <v/>
      </c>
      <c r="H111" s="11" t="str">
        <f t="shared" si="10"/>
        <v/>
      </c>
      <c r="K111"/>
      <c r="L111" s="21" t="str">
        <f t="shared" si="11"/>
        <v/>
      </c>
      <c r="U111" s="3" t="str">
        <f t="shared" si="12"/>
        <v/>
      </c>
      <c r="V111" s="4" t="str">
        <f t="shared" si="13"/>
        <v/>
      </c>
      <c r="W111" s="4" t="str">
        <f t="shared" si="14"/>
        <v/>
      </c>
      <c r="X111" t="str">
        <f t="shared" si="9"/>
        <v/>
      </c>
    </row>
    <row r="112" spans="3:24">
      <c r="C112" s="12"/>
      <c r="D112" s="1"/>
      <c r="E112" s="1"/>
      <c r="F112" s="1"/>
      <c r="G112" s="11" t="str">
        <f t="shared" si="8"/>
        <v/>
      </c>
      <c r="H112" s="11" t="str">
        <f t="shared" si="10"/>
        <v/>
      </c>
      <c r="K112"/>
      <c r="L112" s="21" t="str">
        <f t="shared" si="11"/>
        <v/>
      </c>
      <c r="U112" s="3" t="str">
        <f t="shared" si="12"/>
        <v/>
      </c>
      <c r="V112" s="4" t="str">
        <f t="shared" si="13"/>
        <v/>
      </c>
      <c r="W112" s="4" t="str">
        <f t="shared" si="14"/>
        <v/>
      </c>
      <c r="X112" t="str">
        <f t="shared" si="9"/>
        <v/>
      </c>
    </row>
    <row r="113" spans="3:24">
      <c r="C113" s="12"/>
      <c r="D113" s="1"/>
      <c r="E113" s="1"/>
      <c r="F113" s="1"/>
      <c r="G113" s="11" t="str">
        <f t="shared" si="8"/>
        <v/>
      </c>
      <c r="H113" s="11" t="str">
        <f t="shared" si="10"/>
        <v/>
      </c>
      <c r="K113"/>
      <c r="L113" s="21" t="str">
        <f t="shared" si="11"/>
        <v/>
      </c>
      <c r="U113" s="3" t="str">
        <f t="shared" si="12"/>
        <v/>
      </c>
      <c r="V113" s="4" t="str">
        <f t="shared" si="13"/>
        <v/>
      </c>
      <c r="W113" s="4" t="str">
        <f t="shared" si="14"/>
        <v/>
      </c>
      <c r="X113" t="str">
        <f t="shared" si="9"/>
        <v/>
      </c>
    </row>
    <row r="114" spans="3:24">
      <c r="C114" s="12"/>
      <c r="D114" s="1"/>
      <c r="E114" s="1"/>
      <c r="F114" s="1"/>
      <c r="G114" s="11" t="str">
        <f t="shared" si="8"/>
        <v/>
      </c>
      <c r="H114" s="11" t="str">
        <f t="shared" si="10"/>
        <v/>
      </c>
      <c r="K114"/>
      <c r="L114" s="21" t="str">
        <f t="shared" si="11"/>
        <v/>
      </c>
      <c r="U114" s="3" t="str">
        <f t="shared" si="12"/>
        <v/>
      </c>
      <c r="V114" s="4" t="str">
        <f t="shared" si="13"/>
        <v/>
      </c>
      <c r="W114" s="4" t="str">
        <f t="shared" si="14"/>
        <v/>
      </c>
      <c r="X114" t="str">
        <f t="shared" si="9"/>
        <v/>
      </c>
    </row>
    <row r="115" spans="3:24">
      <c r="C115" s="12"/>
      <c r="D115" s="1"/>
      <c r="E115" s="1"/>
      <c r="F115" s="1"/>
      <c r="G115" s="11" t="str">
        <f t="shared" si="8"/>
        <v/>
      </c>
      <c r="H115" s="11" t="str">
        <f t="shared" si="10"/>
        <v/>
      </c>
      <c r="K115"/>
      <c r="L115" s="21" t="str">
        <f t="shared" si="11"/>
        <v/>
      </c>
      <c r="U115" s="3" t="str">
        <f t="shared" si="12"/>
        <v/>
      </c>
      <c r="V115" s="4" t="str">
        <f t="shared" si="13"/>
        <v/>
      </c>
      <c r="W115" s="4" t="str">
        <f t="shared" si="14"/>
        <v/>
      </c>
      <c r="X115" t="str">
        <f t="shared" si="9"/>
        <v/>
      </c>
    </row>
    <row r="116" spans="3:24">
      <c r="C116" s="12"/>
      <c r="D116" s="1"/>
      <c r="E116" s="1"/>
      <c r="F116" s="1"/>
      <c r="G116" s="11" t="str">
        <f t="shared" si="8"/>
        <v/>
      </c>
      <c r="H116" s="11" t="str">
        <f t="shared" si="10"/>
        <v/>
      </c>
      <c r="K116"/>
      <c r="L116" s="21" t="str">
        <f t="shared" si="11"/>
        <v/>
      </c>
      <c r="U116" s="3" t="str">
        <f t="shared" si="12"/>
        <v/>
      </c>
      <c r="V116" s="4" t="str">
        <f t="shared" si="13"/>
        <v/>
      </c>
      <c r="W116" s="4" t="str">
        <f t="shared" si="14"/>
        <v/>
      </c>
      <c r="X116" t="str">
        <f t="shared" si="9"/>
        <v/>
      </c>
    </row>
    <row r="117" spans="3:24">
      <c r="C117" s="12"/>
      <c r="D117" s="1"/>
      <c r="E117" s="1"/>
      <c r="F117" s="1"/>
      <c r="G117" s="11" t="str">
        <f t="shared" si="8"/>
        <v/>
      </c>
      <c r="H117" s="11" t="str">
        <f t="shared" si="10"/>
        <v/>
      </c>
      <c r="K117"/>
      <c r="L117" s="21" t="str">
        <f t="shared" si="11"/>
        <v/>
      </c>
      <c r="U117" s="3" t="str">
        <f t="shared" si="12"/>
        <v/>
      </c>
      <c r="V117" s="4" t="str">
        <f t="shared" si="13"/>
        <v/>
      </c>
      <c r="W117" s="4" t="str">
        <f t="shared" si="14"/>
        <v/>
      </c>
      <c r="X117" t="str">
        <f t="shared" si="9"/>
        <v/>
      </c>
    </row>
    <row r="118" spans="3:24">
      <c r="C118" s="12"/>
      <c r="D118" s="1"/>
      <c r="E118" s="1"/>
      <c r="F118" s="1"/>
      <c r="G118" s="11" t="str">
        <f t="shared" si="8"/>
        <v/>
      </c>
      <c r="H118" s="11" t="str">
        <f t="shared" si="10"/>
        <v/>
      </c>
      <c r="K118"/>
      <c r="L118" s="21" t="str">
        <f t="shared" si="11"/>
        <v/>
      </c>
      <c r="U118" s="3" t="str">
        <f t="shared" si="12"/>
        <v/>
      </c>
      <c r="V118" s="4" t="str">
        <f t="shared" si="13"/>
        <v/>
      </c>
      <c r="W118" s="4" t="str">
        <f t="shared" si="14"/>
        <v/>
      </c>
      <c r="X118" t="str">
        <f t="shared" si="9"/>
        <v/>
      </c>
    </row>
    <row r="119" spans="3:24">
      <c r="C119" s="12"/>
      <c r="D119" s="1"/>
      <c r="E119" s="1"/>
      <c r="F119" s="1"/>
      <c r="G119" s="11" t="str">
        <f t="shared" si="8"/>
        <v/>
      </c>
      <c r="H119" s="11" t="str">
        <f t="shared" si="10"/>
        <v/>
      </c>
      <c r="K119"/>
      <c r="L119" s="21" t="str">
        <f t="shared" si="11"/>
        <v/>
      </c>
      <c r="U119" s="3" t="str">
        <f t="shared" si="12"/>
        <v/>
      </c>
      <c r="V119" s="4" t="str">
        <f t="shared" si="13"/>
        <v/>
      </c>
      <c r="W119" s="4" t="str">
        <f t="shared" si="14"/>
        <v/>
      </c>
      <c r="X119" t="str">
        <f t="shared" si="9"/>
        <v/>
      </c>
    </row>
    <row r="120" spans="3:24">
      <c r="C120" s="12"/>
      <c r="D120" s="1"/>
      <c r="E120" s="1"/>
      <c r="F120" s="1"/>
      <c r="G120" s="11" t="str">
        <f t="shared" si="8"/>
        <v/>
      </c>
      <c r="H120" s="11" t="str">
        <f t="shared" si="10"/>
        <v/>
      </c>
      <c r="K120"/>
      <c r="L120" s="21" t="str">
        <f t="shared" si="11"/>
        <v/>
      </c>
      <c r="U120" s="3" t="str">
        <f t="shared" si="12"/>
        <v/>
      </c>
      <c r="V120" s="4" t="str">
        <f t="shared" si="13"/>
        <v/>
      </c>
      <c r="W120" s="4" t="str">
        <f t="shared" si="14"/>
        <v/>
      </c>
      <c r="X120" t="str">
        <f t="shared" si="9"/>
        <v/>
      </c>
    </row>
    <row r="121" spans="3:24">
      <c r="C121" s="12"/>
      <c r="D121" s="1"/>
      <c r="E121" s="1"/>
      <c r="F121" s="1"/>
      <c r="G121" s="11" t="str">
        <f t="shared" si="8"/>
        <v/>
      </c>
      <c r="H121" s="11" t="str">
        <f t="shared" si="10"/>
        <v/>
      </c>
      <c r="K121"/>
      <c r="L121" s="21" t="str">
        <f t="shared" si="11"/>
        <v/>
      </c>
      <c r="U121" s="3" t="str">
        <f t="shared" si="12"/>
        <v/>
      </c>
      <c r="V121" s="4" t="str">
        <f t="shared" si="13"/>
        <v/>
      </c>
      <c r="W121" s="4" t="str">
        <f t="shared" si="14"/>
        <v/>
      </c>
      <c r="X121" t="str">
        <f t="shared" si="9"/>
        <v/>
      </c>
    </row>
    <row r="122" spans="3:24">
      <c r="C122" s="12"/>
      <c r="D122" s="1"/>
      <c r="E122" s="1"/>
      <c r="F122" s="1"/>
      <c r="G122" s="11" t="str">
        <f t="shared" si="8"/>
        <v/>
      </c>
      <c r="H122" s="11" t="str">
        <f t="shared" si="10"/>
        <v/>
      </c>
      <c r="K122"/>
      <c r="L122" s="21" t="str">
        <f t="shared" si="11"/>
        <v/>
      </c>
      <c r="U122" s="3" t="str">
        <f t="shared" si="12"/>
        <v/>
      </c>
      <c r="V122" s="4" t="str">
        <f t="shared" si="13"/>
        <v/>
      </c>
      <c r="W122" s="4" t="str">
        <f t="shared" si="14"/>
        <v/>
      </c>
      <c r="X122" t="str">
        <f t="shared" si="9"/>
        <v/>
      </c>
    </row>
    <row r="123" spans="3:24">
      <c r="C123" s="12"/>
      <c r="D123" s="1"/>
      <c r="E123" s="1"/>
      <c r="F123" s="1"/>
      <c r="G123" s="11" t="str">
        <f t="shared" si="8"/>
        <v/>
      </c>
      <c r="H123" s="11" t="str">
        <f t="shared" si="10"/>
        <v/>
      </c>
      <c r="K123"/>
      <c r="L123" s="21" t="str">
        <f t="shared" si="11"/>
        <v/>
      </c>
      <c r="U123" s="3" t="str">
        <f t="shared" si="12"/>
        <v/>
      </c>
      <c r="V123" s="4" t="str">
        <f t="shared" si="13"/>
        <v/>
      </c>
      <c r="W123" s="4" t="str">
        <f t="shared" si="14"/>
        <v/>
      </c>
      <c r="X123" t="str">
        <f t="shared" si="9"/>
        <v/>
      </c>
    </row>
    <row r="124" spans="3:24">
      <c r="C124" s="12"/>
      <c r="D124" s="1"/>
      <c r="E124" s="1"/>
      <c r="F124" s="1"/>
      <c r="G124" s="11" t="str">
        <f t="shared" si="8"/>
        <v/>
      </c>
      <c r="H124" s="11" t="str">
        <f t="shared" si="10"/>
        <v/>
      </c>
      <c r="K124"/>
      <c r="L124" s="21" t="str">
        <f t="shared" si="11"/>
        <v/>
      </c>
      <c r="U124" s="3" t="str">
        <f t="shared" si="12"/>
        <v/>
      </c>
      <c r="V124" s="4" t="str">
        <f t="shared" si="13"/>
        <v/>
      </c>
      <c r="W124" s="4" t="str">
        <f t="shared" si="14"/>
        <v/>
      </c>
      <c r="X124" t="str">
        <f t="shared" si="9"/>
        <v/>
      </c>
    </row>
    <row r="125" spans="3:24">
      <c r="C125" s="12"/>
      <c r="D125" s="1"/>
      <c r="E125" s="1"/>
      <c r="F125" s="1"/>
      <c r="G125" s="11" t="str">
        <f t="shared" si="8"/>
        <v/>
      </c>
      <c r="H125" s="11" t="str">
        <f t="shared" si="10"/>
        <v/>
      </c>
      <c r="K125"/>
      <c r="L125" s="21" t="str">
        <f t="shared" si="11"/>
        <v/>
      </c>
      <c r="U125" s="3" t="str">
        <f t="shared" si="12"/>
        <v/>
      </c>
      <c r="V125" s="4" t="str">
        <f t="shared" si="13"/>
        <v/>
      </c>
      <c r="W125" s="4" t="str">
        <f t="shared" si="14"/>
        <v/>
      </c>
      <c r="X125" t="str">
        <f t="shared" si="9"/>
        <v/>
      </c>
    </row>
    <row r="126" spans="3:24">
      <c r="C126" s="12"/>
      <c r="D126" s="1"/>
      <c r="E126" s="1"/>
      <c r="F126" s="1"/>
      <c r="G126" s="11" t="str">
        <f t="shared" si="8"/>
        <v/>
      </c>
      <c r="H126" s="11" t="str">
        <f t="shared" si="10"/>
        <v/>
      </c>
      <c r="K126"/>
      <c r="L126" s="21" t="str">
        <f t="shared" si="11"/>
        <v/>
      </c>
      <c r="U126" s="3" t="str">
        <f t="shared" si="12"/>
        <v/>
      </c>
      <c r="V126" s="4" t="str">
        <f t="shared" si="13"/>
        <v/>
      </c>
      <c r="W126" s="4" t="str">
        <f t="shared" si="14"/>
        <v/>
      </c>
      <c r="X126" t="str">
        <f t="shared" si="9"/>
        <v/>
      </c>
    </row>
    <row r="127" spans="3:24">
      <c r="C127" s="12"/>
      <c r="D127" s="1"/>
      <c r="E127" s="1"/>
      <c r="F127" s="1"/>
      <c r="G127" s="11" t="str">
        <f t="shared" si="8"/>
        <v/>
      </c>
      <c r="H127" s="11" t="str">
        <f t="shared" si="10"/>
        <v/>
      </c>
      <c r="K127"/>
      <c r="L127" s="21" t="str">
        <f t="shared" si="11"/>
        <v/>
      </c>
      <c r="U127" s="3" t="str">
        <f t="shared" si="12"/>
        <v/>
      </c>
      <c r="V127" s="4" t="str">
        <f t="shared" si="13"/>
        <v/>
      </c>
      <c r="W127" s="4" t="str">
        <f t="shared" si="14"/>
        <v/>
      </c>
      <c r="X127" t="str">
        <f t="shared" si="9"/>
        <v/>
      </c>
    </row>
    <row r="128" spans="3:24">
      <c r="C128" s="12"/>
      <c r="D128" s="1"/>
      <c r="E128" s="1"/>
      <c r="F128" s="1"/>
      <c r="G128" s="11" t="str">
        <f t="shared" si="8"/>
        <v/>
      </c>
      <c r="H128" s="11" t="str">
        <f t="shared" si="10"/>
        <v/>
      </c>
      <c r="K128"/>
      <c r="L128" s="21" t="str">
        <f t="shared" si="11"/>
        <v/>
      </c>
      <c r="U128" s="3" t="str">
        <f t="shared" si="12"/>
        <v/>
      </c>
      <c r="V128" s="4" t="str">
        <f t="shared" si="13"/>
        <v/>
      </c>
      <c r="W128" s="4" t="str">
        <f t="shared" si="14"/>
        <v/>
      </c>
      <c r="X128" t="str">
        <f t="shared" si="9"/>
        <v/>
      </c>
    </row>
    <row r="129" spans="3:24">
      <c r="C129" s="12"/>
      <c r="D129" s="1"/>
      <c r="E129" s="1"/>
      <c r="F129" s="1"/>
      <c r="G129" s="11" t="str">
        <f t="shared" si="8"/>
        <v/>
      </c>
      <c r="H129" s="11" t="str">
        <f t="shared" si="10"/>
        <v/>
      </c>
      <c r="K129"/>
      <c r="L129" s="21" t="str">
        <f t="shared" si="11"/>
        <v/>
      </c>
      <c r="U129" s="3" t="str">
        <f t="shared" si="12"/>
        <v/>
      </c>
      <c r="V129" s="4" t="str">
        <f t="shared" si="13"/>
        <v/>
      </c>
      <c r="W129" s="4" t="str">
        <f t="shared" si="14"/>
        <v/>
      </c>
      <c r="X129" t="str">
        <f t="shared" si="9"/>
        <v/>
      </c>
    </row>
    <row r="130" spans="3:24">
      <c r="C130" s="12"/>
      <c r="D130" s="1"/>
      <c r="E130" s="1"/>
      <c r="F130" s="1"/>
      <c r="G130" s="11" t="str">
        <f t="shared" ref="G130:G193" si="15">IF(X130="", "", TIMEVALUE("0:" &amp; X130))</f>
        <v/>
      </c>
      <c r="H130" s="11" t="str">
        <f t="shared" si="10"/>
        <v/>
      </c>
      <c r="K130"/>
      <c r="L130" s="21" t="str">
        <f t="shared" si="11"/>
        <v/>
      </c>
      <c r="U130" s="3" t="str">
        <f t="shared" si="12"/>
        <v/>
      </c>
      <c r="V130" s="4" t="str">
        <f t="shared" si="13"/>
        <v/>
      </c>
      <c r="W130" s="4" t="str">
        <f t="shared" si="14"/>
        <v/>
      </c>
      <c r="X130" t="str">
        <f t="shared" ref="X130:X193" si="16">IF(V130="", "", IF(MOD(W130,1)*60&gt;=59.5, TEXT(INT(W130)+1, "0") &amp; ":00", TEXT(INT(W130), "0") &amp; ":" &amp; TEXT(ROUND(MOD(W130,1)*60, 0), "00")))</f>
        <v/>
      </c>
    </row>
    <row r="131" spans="3:24">
      <c r="C131" s="12"/>
      <c r="D131" s="1"/>
      <c r="E131" s="1"/>
      <c r="F131" s="1"/>
      <c r="G131" s="11" t="str">
        <f t="shared" si="15"/>
        <v/>
      </c>
      <c r="H131" s="11" t="str">
        <f t="shared" ref="H131:H194" si="17">IF(X131="", "", TIMEVALUE("0:" &amp; X131))</f>
        <v/>
      </c>
      <c r="K131"/>
      <c r="L131" s="21" t="str">
        <f t="shared" ref="L131:L194" si="18">HYPERLINK("#'2024ds'!B" &amp; ROW(B131), "")</f>
        <v/>
      </c>
      <c r="U131" s="3" t="str">
        <f t="shared" ref="U131:U194" si="19">IF(C131="","",TIMEVALUE(C131))</f>
        <v/>
      </c>
      <c r="V131" s="4" t="str">
        <f t="shared" ref="V131:V194" si="20">IF(C131="","",HOUR(C131)*60 + MINUTE(C131) + SECOND(C131)/60)</f>
        <v/>
      </c>
      <c r="W131" s="4" t="str">
        <f t="shared" ref="W131:W194" si="21">IF(V131="","",V131/D131)</f>
        <v/>
      </c>
      <c r="X131" t="str">
        <f t="shared" si="16"/>
        <v/>
      </c>
    </row>
    <row r="132" spans="3:24">
      <c r="C132" s="12"/>
      <c r="D132" s="1"/>
      <c r="E132" s="1"/>
      <c r="F132" s="1"/>
      <c r="G132" s="11" t="str">
        <f t="shared" si="15"/>
        <v/>
      </c>
      <c r="H132" s="11" t="str">
        <f t="shared" si="17"/>
        <v/>
      </c>
      <c r="K132"/>
      <c r="L132" s="21" t="str">
        <f t="shared" si="18"/>
        <v/>
      </c>
      <c r="U132" s="3" t="str">
        <f t="shared" si="19"/>
        <v/>
      </c>
      <c r="V132" s="4" t="str">
        <f t="shared" si="20"/>
        <v/>
      </c>
      <c r="W132" s="4" t="str">
        <f t="shared" si="21"/>
        <v/>
      </c>
      <c r="X132" t="str">
        <f t="shared" si="16"/>
        <v/>
      </c>
    </row>
    <row r="133" spans="3:24">
      <c r="C133" s="12"/>
      <c r="D133" s="1"/>
      <c r="E133" s="1"/>
      <c r="F133" s="1"/>
      <c r="G133" s="11" t="str">
        <f t="shared" si="15"/>
        <v/>
      </c>
      <c r="H133" s="11" t="str">
        <f t="shared" si="17"/>
        <v/>
      </c>
      <c r="K133"/>
      <c r="L133" s="21" t="str">
        <f t="shared" si="18"/>
        <v/>
      </c>
      <c r="U133" s="3" t="str">
        <f t="shared" si="19"/>
        <v/>
      </c>
      <c r="V133" s="4" t="str">
        <f t="shared" si="20"/>
        <v/>
      </c>
      <c r="W133" s="4" t="str">
        <f t="shared" si="21"/>
        <v/>
      </c>
      <c r="X133" t="str">
        <f t="shared" si="16"/>
        <v/>
      </c>
    </row>
    <row r="134" spans="3:24">
      <c r="C134" s="12"/>
      <c r="D134" s="1"/>
      <c r="E134" s="1"/>
      <c r="F134" s="1"/>
      <c r="G134" s="11" t="str">
        <f t="shared" si="15"/>
        <v/>
      </c>
      <c r="H134" s="11" t="str">
        <f t="shared" si="17"/>
        <v/>
      </c>
      <c r="K134"/>
      <c r="L134" s="21" t="str">
        <f t="shared" si="18"/>
        <v/>
      </c>
      <c r="U134" s="3" t="str">
        <f t="shared" si="19"/>
        <v/>
      </c>
      <c r="V134" s="4" t="str">
        <f t="shared" si="20"/>
        <v/>
      </c>
      <c r="W134" s="4" t="str">
        <f t="shared" si="21"/>
        <v/>
      </c>
      <c r="X134" t="str">
        <f t="shared" si="16"/>
        <v/>
      </c>
    </row>
    <row r="135" spans="3:24">
      <c r="C135" s="12"/>
      <c r="D135" s="1"/>
      <c r="E135" s="1"/>
      <c r="F135" s="1"/>
      <c r="G135" s="11" t="str">
        <f t="shared" si="15"/>
        <v/>
      </c>
      <c r="H135" s="11" t="str">
        <f t="shared" si="17"/>
        <v/>
      </c>
      <c r="K135"/>
      <c r="L135" s="21" t="str">
        <f t="shared" si="18"/>
        <v/>
      </c>
      <c r="U135" s="3" t="str">
        <f t="shared" si="19"/>
        <v/>
      </c>
      <c r="V135" s="4" t="str">
        <f t="shared" si="20"/>
        <v/>
      </c>
      <c r="W135" s="4" t="str">
        <f t="shared" si="21"/>
        <v/>
      </c>
      <c r="X135" t="str">
        <f t="shared" si="16"/>
        <v/>
      </c>
    </row>
    <row r="136" spans="3:24">
      <c r="C136" s="12"/>
      <c r="D136" s="1"/>
      <c r="E136" s="1"/>
      <c r="F136" s="1"/>
      <c r="G136" s="11" t="str">
        <f t="shared" si="15"/>
        <v/>
      </c>
      <c r="H136" s="11" t="str">
        <f t="shared" si="17"/>
        <v/>
      </c>
      <c r="K136"/>
      <c r="L136" s="21" t="str">
        <f t="shared" si="18"/>
        <v/>
      </c>
      <c r="U136" s="3" t="str">
        <f t="shared" si="19"/>
        <v/>
      </c>
      <c r="V136" s="4" t="str">
        <f t="shared" si="20"/>
        <v/>
      </c>
      <c r="W136" s="4" t="str">
        <f t="shared" si="21"/>
        <v/>
      </c>
      <c r="X136" t="str">
        <f t="shared" si="16"/>
        <v/>
      </c>
    </row>
    <row r="137" spans="3:24">
      <c r="C137" s="12"/>
      <c r="D137" s="1"/>
      <c r="E137" s="1"/>
      <c r="F137" s="1"/>
      <c r="G137" s="11" t="str">
        <f t="shared" si="15"/>
        <v/>
      </c>
      <c r="H137" s="11" t="str">
        <f t="shared" si="17"/>
        <v/>
      </c>
      <c r="K137"/>
      <c r="L137" s="21" t="str">
        <f t="shared" si="18"/>
        <v/>
      </c>
      <c r="U137" s="3" t="str">
        <f t="shared" si="19"/>
        <v/>
      </c>
      <c r="V137" s="4" t="str">
        <f t="shared" si="20"/>
        <v/>
      </c>
      <c r="W137" s="4" t="str">
        <f t="shared" si="21"/>
        <v/>
      </c>
      <c r="X137" t="str">
        <f t="shared" si="16"/>
        <v/>
      </c>
    </row>
    <row r="138" spans="3:24">
      <c r="C138" s="12"/>
      <c r="D138" s="1"/>
      <c r="E138" s="1"/>
      <c r="F138" s="1"/>
      <c r="G138" s="11" t="str">
        <f t="shared" si="15"/>
        <v/>
      </c>
      <c r="H138" s="11" t="str">
        <f t="shared" si="17"/>
        <v/>
      </c>
      <c r="K138"/>
      <c r="L138" s="21" t="str">
        <f t="shared" si="18"/>
        <v/>
      </c>
      <c r="U138" s="3" t="str">
        <f t="shared" si="19"/>
        <v/>
      </c>
      <c r="V138" s="4" t="str">
        <f t="shared" si="20"/>
        <v/>
      </c>
      <c r="W138" s="4" t="str">
        <f t="shared" si="21"/>
        <v/>
      </c>
      <c r="X138" t="str">
        <f t="shared" si="16"/>
        <v/>
      </c>
    </row>
    <row r="139" spans="3:24">
      <c r="C139" s="12"/>
      <c r="D139" s="1"/>
      <c r="E139" s="1"/>
      <c r="F139" s="1"/>
      <c r="G139" s="11" t="str">
        <f t="shared" si="15"/>
        <v/>
      </c>
      <c r="H139" s="11" t="str">
        <f t="shared" si="17"/>
        <v/>
      </c>
      <c r="K139"/>
      <c r="L139" s="21" t="str">
        <f t="shared" si="18"/>
        <v/>
      </c>
      <c r="U139" s="3" t="str">
        <f t="shared" si="19"/>
        <v/>
      </c>
      <c r="V139" s="4" t="str">
        <f t="shared" si="20"/>
        <v/>
      </c>
      <c r="W139" s="4" t="str">
        <f t="shared" si="21"/>
        <v/>
      </c>
      <c r="X139" t="str">
        <f t="shared" si="16"/>
        <v/>
      </c>
    </row>
    <row r="140" spans="3:24">
      <c r="C140" s="12"/>
      <c r="D140" s="1"/>
      <c r="E140" s="1"/>
      <c r="F140" s="1"/>
      <c r="G140" s="11" t="str">
        <f t="shared" si="15"/>
        <v/>
      </c>
      <c r="H140" s="11" t="str">
        <f t="shared" si="17"/>
        <v/>
      </c>
      <c r="K140"/>
      <c r="L140" s="21" t="str">
        <f t="shared" si="18"/>
        <v/>
      </c>
      <c r="U140" s="3" t="str">
        <f t="shared" si="19"/>
        <v/>
      </c>
      <c r="V140" s="4" t="str">
        <f t="shared" si="20"/>
        <v/>
      </c>
      <c r="W140" s="4" t="str">
        <f t="shared" si="21"/>
        <v/>
      </c>
      <c r="X140" t="str">
        <f t="shared" si="16"/>
        <v/>
      </c>
    </row>
    <row r="141" spans="3:24">
      <c r="C141" s="12"/>
      <c r="D141" s="1"/>
      <c r="E141" s="1"/>
      <c r="F141" s="1"/>
      <c r="G141" s="11" t="str">
        <f t="shared" si="15"/>
        <v/>
      </c>
      <c r="H141" s="11" t="str">
        <f t="shared" si="17"/>
        <v/>
      </c>
      <c r="K141"/>
      <c r="L141" s="21" t="str">
        <f t="shared" si="18"/>
        <v/>
      </c>
      <c r="U141" s="3" t="str">
        <f t="shared" si="19"/>
        <v/>
      </c>
      <c r="V141" s="4" t="str">
        <f t="shared" si="20"/>
        <v/>
      </c>
      <c r="W141" s="4" t="str">
        <f t="shared" si="21"/>
        <v/>
      </c>
      <c r="X141" t="str">
        <f t="shared" si="16"/>
        <v/>
      </c>
    </row>
    <row r="142" spans="3:24">
      <c r="C142" s="12"/>
      <c r="D142" s="1"/>
      <c r="E142" s="1"/>
      <c r="F142" s="1"/>
      <c r="G142" s="11" t="str">
        <f t="shared" si="15"/>
        <v/>
      </c>
      <c r="H142" s="11" t="str">
        <f t="shared" si="17"/>
        <v/>
      </c>
      <c r="K142"/>
      <c r="L142" s="21" t="str">
        <f t="shared" si="18"/>
        <v/>
      </c>
      <c r="U142" s="3" t="str">
        <f t="shared" si="19"/>
        <v/>
      </c>
      <c r="V142" s="4" t="str">
        <f t="shared" si="20"/>
        <v/>
      </c>
      <c r="W142" s="4" t="str">
        <f t="shared" si="21"/>
        <v/>
      </c>
      <c r="X142" t="str">
        <f t="shared" si="16"/>
        <v/>
      </c>
    </row>
    <row r="143" spans="3:24">
      <c r="C143" s="12"/>
      <c r="D143" s="1"/>
      <c r="E143" s="1"/>
      <c r="F143" s="1"/>
      <c r="G143" s="11" t="str">
        <f t="shared" si="15"/>
        <v/>
      </c>
      <c r="H143" s="11" t="str">
        <f t="shared" si="17"/>
        <v/>
      </c>
      <c r="K143"/>
      <c r="L143" s="21" t="str">
        <f t="shared" si="18"/>
        <v/>
      </c>
      <c r="U143" s="3" t="str">
        <f t="shared" si="19"/>
        <v/>
      </c>
      <c r="V143" s="4" t="str">
        <f t="shared" si="20"/>
        <v/>
      </c>
      <c r="W143" s="4" t="str">
        <f t="shared" si="21"/>
        <v/>
      </c>
      <c r="X143" t="str">
        <f t="shared" si="16"/>
        <v/>
      </c>
    </row>
    <row r="144" spans="3:24">
      <c r="C144" s="12"/>
      <c r="D144" s="1"/>
      <c r="E144" s="1"/>
      <c r="F144" s="1"/>
      <c r="G144" s="11" t="str">
        <f t="shared" si="15"/>
        <v/>
      </c>
      <c r="H144" s="11" t="str">
        <f t="shared" si="17"/>
        <v/>
      </c>
      <c r="K144"/>
      <c r="L144" s="21" t="str">
        <f t="shared" si="18"/>
        <v/>
      </c>
      <c r="U144" s="3" t="str">
        <f t="shared" si="19"/>
        <v/>
      </c>
      <c r="V144" s="4" t="str">
        <f t="shared" si="20"/>
        <v/>
      </c>
      <c r="W144" s="4" t="str">
        <f t="shared" si="21"/>
        <v/>
      </c>
      <c r="X144" t="str">
        <f t="shared" si="16"/>
        <v/>
      </c>
    </row>
    <row r="145" spans="3:24">
      <c r="C145" s="12"/>
      <c r="D145" s="1"/>
      <c r="E145" s="1"/>
      <c r="F145" s="1"/>
      <c r="G145" s="11" t="str">
        <f t="shared" si="15"/>
        <v/>
      </c>
      <c r="H145" s="11" t="str">
        <f t="shared" si="17"/>
        <v/>
      </c>
      <c r="K145"/>
      <c r="L145" s="21" t="str">
        <f t="shared" si="18"/>
        <v/>
      </c>
      <c r="U145" s="3" t="str">
        <f t="shared" si="19"/>
        <v/>
      </c>
      <c r="V145" s="4" t="str">
        <f t="shared" si="20"/>
        <v/>
      </c>
      <c r="W145" s="4" t="str">
        <f t="shared" si="21"/>
        <v/>
      </c>
      <c r="X145" t="str">
        <f t="shared" si="16"/>
        <v/>
      </c>
    </row>
    <row r="146" spans="3:24">
      <c r="C146" s="12"/>
      <c r="D146" s="1"/>
      <c r="E146" s="1"/>
      <c r="F146" s="1"/>
      <c r="G146" s="11" t="str">
        <f t="shared" si="15"/>
        <v/>
      </c>
      <c r="H146" s="11" t="str">
        <f t="shared" si="17"/>
        <v/>
      </c>
      <c r="K146"/>
      <c r="L146" s="21" t="str">
        <f t="shared" si="18"/>
        <v/>
      </c>
      <c r="U146" s="3" t="str">
        <f t="shared" si="19"/>
        <v/>
      </c>
      <c r="V146" s="4" t="str">
        <f t="shared" si="20"/>
        <v/>
      </c>
      <c r="W146" s="4" t="str">
        <f t="shared" si="21"/>
        <v/>
      </c>
      <c r="X146" t="str">
        <f t="shared" si="16"/>
        <v/>
      </c>
    </row>
    <row r="147" spans="3:24">
      <c r="C147" s="12"/>
      <c r="D147" s="1"/>
      <c r="E147" s="1"/>
      <c r="F147" s="1"/>
      <c r="G147" s="11" t="str">
        <f t="shared" si="15"/>
        <v/>
      </c>
      <c r="H147" s="11" t="str">
        <f t="shared" si="17"/>
        <v/>
      </c>
      <c r="K147"/>
      <c r="L147" s="21" t="str">
        <f t="shared" si="18"/>
        <v/>
      </c>
      <c r="U147" s="3" t="str">
        <f t="shared" si="19"/>
        <v/>
      </c>
      <c r="V147" s="4" t="str">
        <f t="shared" si="20"/>
        <v/>
      </c>
      <c r="W147" s="4" t="str">
        <f t="shared" si="21"/>
        <v/>
      </c>
      <c r="X147" t="str">
        <f t="shared" si="16"/>
        <v/>
      </c>
    </row>
    <row r="148" spans="3:24">
      <c r="C148" s="12"/>
      <c r="D148" s="1"/>
      <c r="E148" s="1"/>
      <c r="F148" s="1"/>
      <c r="G148" s="11" t="str">
        <f t="shared" si="15"/>
        <v/>
      </c>
      <c r="H148" s="11" t="str">
        <f t="shared" si="17"/>
        <v/>
      </c>
      <c r="K148"/>
      <c r="L148" s="21" t="str">
        <f t="shared" si="18"/>
        <v/>
      </c>
      <c r="U148" s="3" t="str">
        <f t="shared" si="19"/>
        <v/>
      </c>
      <c r="V148" s="4" t="str">
        <f t="shared" si="20"/>
        <v/>
      </c>
      <c r="W148" s="4" t="str">
        <f t="shared" si="21"/>
        <v/>
      </c>
      <c r="X148" t="str">
        <f t="shared" si="16"/>
        <v/>
      </c>
    </row>
    <row r="149" spans="3:24">
      <c r="C149" s="12"/>
      <c r="D149" s="1"/>
      <c r="E149" s="1"/>
      <c r="F149" s="1"/>
      <c r="G149" s="11" t="str">
        <f t="shared" si="15"/>
        <v/>
      </c>
      <c r="H149" s="11" t="str">
        <f t="shared" si="17"/>
        <v/>
      </c>
      <c r="K149"/>
      <c r="L149" s="21" t="str">
        <f t="shared" si="18"/>
        <v/>
      </c>
      <c r="U149" s="3" t="str">
        <f t="shared" si="19"/>
        <v/>
      </c>
      <c r="V149" s="4" t="str">
        <f t="shared" si="20"/>
        <v/>
      </c>
      <c r="W149" s="4" t="str">
        <f t="shared" si="21"/>
        <v/>
      </c>
      <c r="X149" t="str">
        <f t="shared" si="16"/>
        <v/>
      </c>
    </row>
    <row r="150" spans="3:24">
      <c r="C150" s="12"/>
      <c r="D150" s="1"/>
      <c r="E150" s="1"/>
      <c r="F150" s="1"/>
      <c r="G150" s="11" t="str">
        <f t="shared" si="15"/>
        <v/>
      </c>
      <c r="H150" s="11" t="str">
        <f t="shared" si="17"/>
        <v/>
      </c>
      <c r="K150"/>
      <c r="L150" s="21" t="str">
        <f t="shared" si="18"/>
        <v/>
      </c>
      <c r="U150" s="3" t="str">
        <f t="shared" si="19"/>
        <v/>
      </c>
      <c r="V150" s="4" t="str">
        <f t="shared" si="20"/>
        <v/>
      </c>
      <c r="W150" s="4" t="str">
        <f t="shared" si="21"/>
        <v/>
      </c>
      <c r="X150" t="str">
        <f t="shared" si="16"/>
        <v/>
      </c>
    </row>
    <row r="151" spans="3:24">
      <c r="C151" s="12"/>
      <c r="D151" s="1"/>
      <c r="E151" s="1"/>
      <c r="F151" s="1"/>
      <c r="G151" s="11" t="str">
        <f t="shared" si="15"/>
        <v/>
      </c>
      <c r="H151" s="11" t="str">
        <f t="shared" si="17"/>
        <v/>
      </c>
      <c r="K151"/>
      <c r="L151" s="21" t="str">
        <f t="shared" si="18"/>
        <v/>
      </c>
      <c r="U151" s="3" t="str">
        <f t="shared" si="19"/>
        <v/>
      </c>
      <c r="V151" s="4" t="str">
        <f t="shared" si="20"/>
        <v/>
      </c>
      <c r="W151" s="4" t="str">
        <f t="shared" si="21"/>
        <v/>
      </c>
      <c r="X151" t="str">
        <f t="shared" si="16"/>
        <v/>
      </c>
    </row>
    <row r="152" spans="3:24">
      <c r="C152" s="12"/>
      <c r="D152" s="1"/>
      <c r="E152" s="1"/>
      <c r="F152" s="1"/>
      <c r="G152" s="11" t="str">
        <f t="shared" si="15"/>
        <v/>
      </c>
      <c r="H152" s="11" t="str">
        <f t="shared" si="17"/>
        <v/>
      </c>
      <c r="K152"/>
      <c r="L152" s="21" t="str">
        <f t="shared" si="18"/>
        <v/>
      </c>
      <c r="U152" s="3" t="str">
        <f t="shared" si="19"/>
        <v/>
      </c>
      <c r="V152" s="4" t="str">
        <f t="shared" si="20"/>
        <v/>
      </c>
      <c r="W152" s="4" t="str">
        <f t="shared" si="21"/>
        <v/>
      </c>
      <c r="X152" t="str">
        <f t="shared" si="16"/>
        <v/>
      </c>
    </row>
    <row r="153" spans="3:24">
      <c r="C153" s="12"/>
      <c r="D153" s="1"/>
      <c r="E153" s="1"/>
      <c r="F153" s="1"/>
      <c r="G153" s="11" t="str">
        <f t="shared" si="15"/>
        <v/>
      </c>
      <c r="H153" s="11" t="str">
        <f t="shared" si="17"/>
        <v/>
      </c>
      <c r="K153"/>
      <c r="L153" s="21" t="str">
        <f t="shared" si="18"/>
        <v/>
      </c>
      <c r="U153" s="3" t="str">
        <f t="shared" si="19"/>
        <v/>
      </c>
      <c r="V153" s="4" t="str">
        <f t="shared" si="20"/>
        <v/>
      </c>
      <c r="W153" s="4" t="str">
        <f t="shared" si="21"/>
        <v/>
      </c>
      <c r="X153" t="str">
        <f t="shared" si="16"/>
        <v/>
      </c>
    </row>
    <row r="154" spans="3:24">
      <c r="C154" s="12"/>
      <c r="D154" s="1"/>
      <c r="E154" s="1"/>
      <c r="F154" s="1"/>
      <c r="G154" s="11" t="str">
        <f t="shared" si="15"/>
        <v/>
      </c>
      <c r="H154" s="11" t="str">
        <f t="shared" si="17"/>
        <v/>
      </c>
      <c r="K154"/>
      <c r="L154" s="21" t="str">
        <f t="shared" si="18"/>
        <v/>
      </c>
      <c r="U154" s="3" t="str">
        <f t="shared" si="19"/>
        <v/>
      </c>
      <c r="V154" s="4" t="str">
        <f t="shared" si="20"/>
        <v/>
      </c>
      <c r="W154" s="4" t="str">
        <f t="shared" si="21"/>
        <v/>
      </c>
      <c r="X154" t="str">
        <f t="shared" si="16"/>
        <v/>
      </c>
    </row>
    <row r="155" spans="3:24">
      <c r="C155" s="12"/>
      <c r="D155" s="1"/>
      <c r="E155" s="1"/>
      <c r="F155" s="1"/>
      <c r="G155" s="11" t="str">
        <f t="shared" si="15"/>
        <v/>
      </c>
      <c r="H155" s="11" t="str">
        <f t="shared" si="17"/>
        <v/>
      </c>
      <c r="K155"/>
      <c r="L155" s="21" t="str">
        <f t="shared" si="18"/>
        <v/>
      </c>
      <c r="U155" s="3" t="str">
        <f t="shared" si="19"/>
        <v/>
      </c>
      <c r="V155" s="4" t="str">
        <f t="shared" si="20"/>
        <v/>
      </c>
      <c r="W155" s="4" t="str">
        <f t="shared" si="21"/>
        <v/>
      </c>
      <c r="X155" t="str">
        <f t="shared" si="16"/>
        <v/>
      </c>
    </row>
    <row r="156" spans="3:24">
      <c r="C156" s="12"/>
      <c r="D156" s="1"/>
      <c r="E156" s="1"/>
      <c r="F156" s="1"/>
      <c r="G156" s="11" t="str">
        <f t="shared" si="15"/>
        <v/>
      </c>
      <c r="H156" s="11" t="str">
        <f t="shared" si="17"/>
        <v/>
      </c>
      <c r="K156"/>
      <c r="L156" s="21" t="str">
        <f t="shared" si="18"/>
        <v/>
      </c>
      <c r="U156" s="3" t="str">
        <f t="shared" si="19"/>
        <v/>
      </c>
      <c r="V156" s="4" t="str">
        <f t="shared" si="20"/>
        <v/>
      </c>
      <c r="W156" s="4" t="str">
        <f t="shared" si="21"/>
        <v/>
      </c>
      <c r="X156" t="str">
        <f t="shared" si="16"/>
        <v/>
      </c>
    </row>
    <row r="157" spans="3:24">
      <c r="C157" s="12"/>
      <c r="D157" s="1"/>
      <c r="E157" s="1"/>
      <c r="F157" s="1"/>
      <c r="G157" s="11" t="str">
        <f t="shared" si="15"/>
        <v/>
      </c>
      <c r="H157" s="11" t="str">
        <f t="shared" si="17"/>
        <v/>
      </c>
      <c r="K157"/>
      <c r="L157" s="21" t="str">
        <f t="shared" si="18"/>
        <v/>
      </c>
      <c r="U157" s="3" t="str">
        <f t="shared" si="19"/>
        <v/>
      </c>
      <c r="V157" s="4" t="str">
        <f t="shared" si="20"/>
        <v/>
      </c>
      <c r="W157" s="4" t="str">
        <f t="shared" si="21"/>
        <v/>
      </c>
      <c r="X157" t="str">
        <f t="shared" si="16"/>
        <v/>
      </c>
    </row>
    <row r="158" spans="3:24">
      <c r="C158" s="12"/>
      <c r="D158" s="1"/>
      <c r="E158" s="1"/>
      <c r="F158" s="1"/>
      <c r="G158" s="11" t="str">
        <f t="shared" si="15"/>
        <v/>
      </c>
      <c r="H158" s="11" t="str">
        <f t="shared" si="17"/>
        <v/>
      </c>
      <c r="K158"/>
      <c r="L158" s="21" t="str">
        <f t="shared" si="18"/>
        <v/>
      </c>
      <c r="U158" s="3" t="str">
        <f t="shared" si="19"/>
        <v/>
      </c>
      <c r="V158" s="4" t="str">
        <f t="shared" si="20"/>
        <v/>
      </c>
      <c r="W158" s="4" t="str">
        <f t="shared" si="21"/>
        <v/>
      </c>
      <c r="X158" t="str">
        <f t="shared" si="16"/>
        <v/>
      </c>
    </row>
    <row r="159" spans="3:24">
      <c r="C159" s="12"/>
      <c r="D159" s="1"/>
      <c r="E159" s="1"/>
      <c r="F159" s="1"/>
      <c r="G159" s="11" t="str">
        <f t="shared" si="15"/>
        <v/>
      </c>
      <c r="H159" s="11" t="str">
        <f t="shared" si="17"/>
        <v/>
      </c>
      <c r="K159"/>
      <c r="L159" s="21" t="str">
        <f t="shared" si="18"/>
        <v/>
      </c>
      <c r="U159" s="3" t="str">
        <f t="shared" si="19"/>
        <v/>
      </c>
      <c r="V159" s="4" t="str">
        <f t="shared" si="20"/>
        <v/>
      </c>
      <c r="W159" s="4" t="str">
        <f t="shared" si="21"/>
        <v/>
      </c>
      <c r="X159" t="str">
        <f t="shared" si="16"/>
        <v/>
      </c>
    </row>
    <row r="160" spans="3:24">
      <c r="C160" s="12"/>
      <c r="D160" s="1"/>
      <c r="E160" s="1"/>
      <c r="F160" s="1"/>
      <c r="G160" s="11" t="str">
        <f t="shared" si="15"/>
        <v/>
      </c>
      <c r="H160" s="11" t="str">
        <f t="shared" si="17"/>
        <v/>
      </c>
      <c r="K160"/>
      <c r="L160" s="21" t="str">
        <f t="shared" si="18"/>
        <v/>
      </c>
      <c r="U160" s="3" t="str">
        <f t="shared" si="19"/>
        <v/>
      </c>
      <c r="V160" s="4" t="str">
        <f t="shared" si="20"/>
        <v/>
      </c>
      <c r="W160" s="4" t="str">
        <f t="shared" si="21"/>
        <v/>
      </c>
      <c r="X160" t="str">
        <f t="shared" si="16"/>
        <v/>
      </c>
    </row>
    <row r="161" spans="3:24">
      <c r="C161" s="12"/>
      <c r="D161" s="1"/>
      <c r="E161" s="1"/>
      <c r="F161" s="1"/>
      <c r="G161" s="11" t="str">
        <f t="shared" si="15"/>
        <v/>
      </c>
      <c r="H161" s="11" t="str">
        <f t="shared" si="17"/>
        <v/>
      </c>
      <c r="K161"/>
      <c r="L161" s="21" t="str">
        <f t="shared" si="18"/>
        <v/>
      </c>
      <c r="U161" s="3" t="str">
        <f t="shared" si="19"/>
        <v/>
      </c>
      <c r="V161" s="4" t="str">
        <f t="shared" si="20"/>
        <v/>
      </c>
      <c r="W161" s="4" t="str">
        <f t="shared" si="21"/>
        <v/>
      </c>
      <c r="X161" t="str">
        <f t="shared" si="16"/>
        <v/>
      </c>
    </row>
    <row r="162" spans="3:24">
      <c r="C162" s="12"/>
      <c r="D162" s="1"/>
      <c r="E162" s="1"/>
      <c r="F162" s="1"/>
      <c r="G162" s="11" t="str">
        <f t="shared" si="15"/>
        <v/>
      </c>
      <c r="H162" s="11" t="str">
        <f t="shared" si="17"/>
        <v/>
      </c>
      <c r="K162"/>
      <c r="L162" s="21" t="str">
        <f t="shared" si="18"/>
        <v/>
      </c>
      <c r="U162" s="3" t="str">
        <f t="shared" si="19"/>
        <v/>
      </c>
      <c r="V162" s="4" t="str">
        <f t="shared" si="20"/>
        <v/>
      </c>
      <c r="W162" s="4" t="str">
        <f t="shared" si="21"/>
        <v/>
      </c>
      <c r="X162" t="str">
        <f t="shared" si="16"/>
        <v/>
      </c>
    </row>
    <row r="163" spans="3:24">
      <c r="C163" s="12"/>
      <c r="D163" s="1"/>
      <c r="E163" s="1"/>
      <c r="F163" s="1"/>
      <c r="G163" s="11" t="str">
        <f t="shared" si="15"/>
        <v/>
      </c>
      <c r="H163" s="11" t="str">
        <f t="shared" si="17"/>
        <v/>
      </c>
      <c r="K163"/>
      <c r="L163" s="21" t="str">
        <f t="shared" si="18"/>
        <v/>
      </c>
      <c r="U163" s="3" t="str">
        <f t="shared" si="19"/>
        <v/>
      </c>
      <c r="V163" s="4" t="str">
        <f t="shared" si="20"/>
        <v/>
      </c>
      <c r="W163" s="4" t="str">
        <f t="shared" si="21"/>
        <v/>
      </c>
      <c r="X163" t="str">
        <f t="shared" si="16"/>
        <v/>
      </c>
    </row>
    <row r="164" spans="3:24">
      <c r="C164" s="12"/>
      <c r="D164" s="1"/>
      <c r="E164" s="1"/>
      <c r="F164" s="1"/>
      <c r="G164" s="11" t="str">
        <f t="shared" si="15"/>
        <v/>
      </c>
      <c r="H164" s="11" t="str">
        <f t="shared" si="17"/>
        <v/>
      </c>
      <c r="K164"/>
      <c r="L164" s="21" t="str">
        <f t="shared" si="18"/>
        <v/>
      </c>
      <c r="U164" s="3" t="str">
        <f t="shared" si="19"/>
        <v/>
      </c>
      <c r="V164" s="4" t="str">
        <f t="shared" si="20"/>
        <v/>
      </c>
      <c r="W164" s="4" t="str">
        <f t="shared" si="21"/>
        <v/>
      </c>
      <c r="X164" t="str">
        <f t="shared" si="16"/>
        <v/>
      </c>
    </row>
    <row r="165" spans="3:24">
      <c r="C165" s="12"/>
      <c r="D165" s="1"/>
      <c r="E165" s="1"/>
      <c r="F165" s="1"/>
      <c r="G165" s="11" t="str">
        <f t="shared" si="15"/>
        <v/>
      </c>
      <c r="H165" s="11" t="str">
        <f t="shared" si="17"/>
        <v/>
      </c>
      <c r="K165"/>
      <c r="L165" s="21" t="str">
        <f t="shared" si="18"/>
        <v/>
      </c>
      <c r="U165" s="3" t="str">
        <f t="shared" si="19"/>
        <v/>
      </c>
      <c r="V165" s="4" t="str">
        <f t="shared" si="20"/>
        <v/>
      </c>
      <c r="W165" s="4" t="str">
        <f t="shared" si="21"/>
        <v/>
      </c>
      <c r="X165" t="str">
        <f t="shared" si="16"/>
        <v/>
      </c>
    </row>
    <row r="166" spans="3:24">
      <c r="C166" s="12"/>
      <c r="D166" s="1"/>
      <c r="E166" s="1"/>
      <c r="F166" s="1"/>
      <c r="G166" s="11" t="str">
        <f t="shared" si="15"/>
        <v/>
      </c>
      <c r="H166" s="11" t="str">
        <f t="shared" si="17"/>
        <v/>
      </c>
      <c r="K166"/>
      <c r="L166" s="21" t="str">
        <f t="shared" si="18"/>
        <v/>
      </c>
      <c r="U166" s="3" t="str">
        <f t="shared" si="19"/>
        <v/>
      </c>
      <c r="V166" s="4" t="str">
        <f t="shared" si="20"/>
        <v/>
      </c>
      <c r="W166" s="4" t="str">
        <f t="shared" si="21"/>
        <v/>
      </c>
      <c r="X166" t="str">
        <f t="shared" si="16"/>
        <v/>
      </c>
    </row>
    <row r="167" spans="3:24">
      <c r="C167" s="12"/>
      <c r="D167" s="1"/>
      <c r="E167" s="1"/>
      <c r="F167" s="1"/>
      <c r="G167" s="11" t="str">
        <f t="shared" si="15"/>
        <v/>
      </c>
      <c r="H167" s="11" t="str">
        <f t="shared" si="17"/>
        <v/>
      </c>
      <c r="K167"/>
      <c r="L167" s="21" t="str">
        <f t="shared" si="18"/>
        <v/>
      </c>
      <c r="U167" s="3" t="str">
        <f t="shared" si="19"/>
        <v/>
      </c>
      <c r="V167" s="4" t="str">
        <f t="shared" si="20"/>
        <v/>
      </c>
      <c r="W167" s="4" t="str">
        <f t="shared" si="21"/>
        <v/>
      </c>
      <c r="X167" t="str">
        <f t="shared" si="16"/>
        <v/>
      </c>
    </row>
    <row r="168" spans="3:24">
      <c r="C168" s="12"/>
      <c r="D168" s="1"/>
      <c r="E168" s="1"/>
      <c r="F168" s="1"/>
      <c r="G168" s="11" t="str">
        <f t="shared" si="15"/>
        <v/>
      </c>
      <c r="H168" s="11" t="str">
        <f t="shared" si="17"/>
        <v/>
      </c>
      <c r="K168"/>
      <c r="L168" s="21" t="str">
        <f t="shared" si="18"/>
        <v/>
      </c>
      <c r="U168" s="3" t="str">
        <f t="shared" si="19"/>
        <v/>
      </c>
      <c r="V168" s="4" t="str">
        <f t="shared" si="20"/>
        <v/>
      </c>
      <c r="W168" s="4" t="str">
        <f t="shared" si="21"/>
        <v/>
      </c>
      <c r="X168" t="str">
        <f t="shared" si="16"/>
        <v/>
      </c>
    </row>
    <row r="169" spans="3:24">
      <c r="C169" s="12"/>
      <c r="D169" s="1"/>
      <c r="E169" s="1"/>
      <c r="F169" s="1"/>
      <c r="G169" s="11" t="str">
        <f t="shared" si="15"/>
        <v/>
      </c>
      <c r="H169" s="11" t="str">
        <f t="shared" si="17"/>
        <v/>
      </c>
      <c r="K169"/>
      <c r="L169" s="21" t="str">
        <f t="shared" si="18"/>
        <v/>
      </c>
      <c r="U169" s="3" t="str">
        <f t="shared" si="19"/>
        <v/>
      </c>
      <c r="V169" s="4" t="str">
        <f t="shared" si="20"/>
        <v/>
      </c>
      <c r="W169" s="4" t="str">
        <f t="shared" si="21"/>
        <v/>
      </c>
      <c r="X169" t="str">
        <f t="shared" si="16"/>
        <v/>
      </c>
    </row>
    <row r="170" spans="3:24">
      <c r="C170" s="12"/>
      <c r="D170" s="1"/>
      <c r="E170" s="1"/>
      <c r="F170" s="1"/>
      <c r="G170" s="11" t="str">
        <f t="shared" si="15"/>
        <v/>
      </c>
      <c r="H170" s="11" t="str">
        <f t="shared" si="17"/>
        <v/>
      </c>
      <c r="K170"/>
      <c r="L170" s="21" t="str">
        <f t="shared" si="18"/>
        <v/>
      </c>
      <c r="U170" s="3" t="str">
        <f t="shared" si="19"/>
        <v/>
      </c>
      <c r="V170" s="4" t="str">
        <f t="shared" si="20"/>
        <v/>
      </c>
      <c r="W170" s="4" t="str">
        <f t="shared" si="21"/>
        <v/>
      </c>
      <c r="X170" t="str">
        <f t="shared" si="16"/>
        <v/>
      </c>
    </row>
    <row r="171" spans="3:24">
      <c r="C171" s="12"/>
      <c r="D171" s="1"/>
      <c r="E171" s="1"/>
      <c r="F171" s="1"/>
      <c r="G171" s="11" t="str">
        <f t="shared" si="15"/>
        <v/>
      </c>
      <c r="H171" s="11" t="str">
        <f t="shared" si="17"/>
        <v/>
      </c>
      <c r="K171"/>
      <c r="L171" s="21" t="str">
        <f t="shared" si="18"/>
        <v/>
      </c>
      <c r="U171" s="3" t="str">
        <f t="shared" si="19"/>
        <v/>
      </c>
      <c r="V171" s="4" t="str">
        <f t="shared" si="20"/>
        <v/>
      </c>
      <c r="W171" s="4" t="str">
        <f t="shared" si="21"/>
        <v/>
      </c>
      <c r="X171" t="str">
        <f t="shared" si="16"/>
        <v/>
      </c>
    </row>
    <row r="172" spans="3:24">
      <c r="C172" s="12"/>
      <c r="D172" s="1"/>
      <c r="E172" s="1"/>
      <c r="F172" s="1"/>
      <c r="G172" s="11" t="str">
        <f t="shared" si="15"/>
        <v/>
      </c>
      <c r="H172" s="11" t="str">
        <f t="shared" si="17"/>
        <v/>
      </c>
      <c r="K172"/>
      <c r="L172" s="21" t="str">
        <f t="shared" si="18"/>
        <v/>
      </c>
      <c r="U172" s="3" t="str">
        <f t="shared" si="19"/>
        <v/>
      </c>
      <c r="V172" s="4" t="str">
        <f t="shared" si="20"/>
        <v/>
      </c>
      <c r="W172" s="4" t="str">
        <f t="shared" si="21"/>
        <v/>
      </c>
      <c r="X172" t="str">
        <f t="shared" si="16"/>
        <v/>
      </c>
    </row>
    <row r="173" spans="3:24">
      <c r="C173" s="12"/>
      <c r="D173" s="1"/>
      <c r="E173" s="1"/>
      <c r="F173" s="1"/>
      <c r="G173" s="11" t="str">
        <f t="shared" si="15"/>
        <v/>
      </c>
      <c r="H173" s="11" t="str">
        <f t="shared" si="17"/>
        <v/>
      </c>
      <c r="K173"/>
      <c r="L173" s="21" t="str">
        <f t="shared" si="18"/>
        <v/>
      </c>
      <c r="U173" s="3" t="str">
        <f t="shared" si="19"/>
        <v/>
      </c>
      <c r="V173" s="4" t="str">
        <f t="shared" si="20"/>
        <v/>
      </c>
      <c r="W173" s="4" t="str">
        <f t="shared" si="21"/>
        <v/>
      </c>
      <c r="X173" t="str">
        <f t="shared" si="16"/>
        <v/>
      </c>
    </row>
    <row r="174" spans="3:24">
      <c r="C174" s="12"/>
      <c r="D174" s="1"/>
      <c r="E174" s="1"/>
      <c r="F174" s="1"/>
      <c r="G174" s="11" t="str">
        <f t="shared" si="15"/>
        <v/>
      </c>
      <c r="H174" s="11" t="str">
        <f t="shared" si="17"/>
        <v/>
      </c>
      <c r="K174"/>
      <c r="L174" s="21" t="str">
        <f t="shared" si="18"/>
        <v/>
      </c>
      <c r="U174" s="3" t="str">
        <f t="shared" si="19"/>
        <v/>
      </c>
      <c r="V174" s="4" t="str">
        <f t="shared" si="20"/>
        <v/>
      </c>
      <c r="W174" s="4" t="str">
        <f t="shared" si="21"/>
        <v/>
      </c>
      <c r="X174" t="str">
        <f t="shared" si="16"/>
        <v/>
      </c>
    </row>
    <row r="175" spans="3:24">
      <c r="C175" s="12"/>
      <c r="D175" s="1"/>
      <c r="E175" s="1"/>
      <c r="F175" s="1"/>
      <c r="G175" s="11" t="str">
        <f t="shared" si="15"/>
        <v/>
      </c>
      <c r="H175" s="11" t="str">
        <f t="shared" si="17"/>
        <v/>
      </c>
      <c r="K175"/>
      <c r="L175" s="21" t="str">
        <f t="shared" si="18"/>
        <v/>
      </c>
      <c r="U175" s="3" t="str">
        <f t="shared" si="19"/>
        <v/>
      </c>
      <c r="V175" s="4" t="str">
        <f t="shared" si="20"/>
        <v/>
      </c>
      <c r="W175" s="4" t="str">
        <f t="shared" si="21"/>
        <v/>
      </c>
      <c r="X175" t="str">
        <f t="shared" si="16"/>
        <v/>
      </c>
    </row>
    <row r="176" spans="3:24">
      <c r="C176" s="12"/>
      <c r="D176" s="1"/>
      <c r="E176" s="1"/>
      <c r="F176" s="1"/>
      <c r="G176" s="11" t="str">
        <f t="shared" si="15"/>
        <v/>
      </c>
      <c r="H176" s="11" t="str">
        <f t="shared" si="17"/>
        <v/>
      </c>
      <c r="K176"/>
      <c r="L176" s="21" t="str">
        <f t="shared" si="18"/>
        <v/>
      </c>
      <c r="U176" s="3" t="str">
        <f t="shared" si="19"/>
        <v/>
      </c>
      <c r="V176" s="4" t="str">
        <f t="shared" si="20"/>
        <v/>
      </c>
      <c r="W176" s="4" t="str">
        <f t="shared" si="21"/>
        <v/>
      </c>
      <c r="X176" t="str">
        <f t="shared" si="16"/>
        <v/>
      </c>
    </row>
    <row r="177" spans="3:24">
      <c r="C177" s="12"/>
      <c r="D177" s="1"/>
      <c r="E177" s="1"/>
      <c r="F177" s="1"/>
      <c r="G177" s="11" t="str">
        <f t="shared" si="15"/>
        <v/>
      </c>
      <c r="H177" s="11" t="str">
        <f t="shared" si="17"/>
        <v/>
      </c>
      <c r="K177"/>
      <c r="L177" s="21" t="str">
        <f t="shared" si="18"/>
        <v/>
      </c>
      <c r="U177" s="3" t="str">
        <f t="shared" si="19"/>
        <v/>
      </c>
      <c r="V177" s="4" t="str">
        <f t="shared" si="20"/>
        <v/>
      </c>
      <c r="W177" s="4" t="str">
        <f t="shared" si="21"/>
        <v/>
      </c>
      <c r="X177" t="str">
        <f t="shared" si="16"/>
        <v/>
      </c>
    </row>
    <row r="178" spans="3:24">
      <c r="C178" s="12"/>
      <c r="D178" s="1"/>
      <c r="E178" s="1"/>
      <c r="F178" s="1"/>
      <c r="G178" s="11" t="str">
        <f t="shared" si="15"/>
        <v/>
      </c>
      <c r="H178" s="11" t="str">
        <f t="shared" si="17"/>
        <v/>
      </c>
      <c r="K178"/>
      <c r="L178" s="21" t="str">
        <f t="shared" si="18"/>
        <v/>
      </c>
      <c r="U178" s="3" t="str">
        <f t="shared" si="19"/>
        <v/>
      </c>
      <c r="V178" s="4" t="str">
        <f t="shared" si="20"/>
        <v/>
      </c>
      <c r="W178" s="4" t="str">
        <f t="shared" si="21"/>
        <v/>
      </c>
      <c r="X178" t="str">
        <f t="shared" si="16"/>
        <v/>
      </c>
    </row>
    <row r="179" spans="3:24">
      <c r="C179" s="12"/>
      <c r="D179" s="1"/>
      <c r="E179" s="1"/>
      <c r="F179" s="1"/>
      <c r="G179" s="11" t="str">
        <f t="shared" si="15"/>
        <v/>
      </c>
      <c r="H179" s="11" t="str">
        <f t="shared" si="17"/>
        <v/>
      </c>
      <c r="K179"/>
      <c r="L179" s="21" t="str">
        <f t="shared" si="18"/>
        <v/>
      </c>
      <c r="U179" s="3" t="str">
        <f t="shared" si="19"/>
        <v/>
      </c>
      <c r="V179" s="4" t="str">
        <f t="shared" si="20"/>
        <v/>
      </c>
      <c r="W179" s="4" t="str">
        <f t="shared" si="21"/>
        <v/>
      </c>
      <c r="X179" t="str">
        <f t="shared" si="16"/>
        <v/>
      </c>
    </row>
    <row r="180" spans="3:24">
      <c r="C180" s="12"/>
      <c r="D180" s="1"/>
      <c r="E180" s="1"/>
      <c r="F180" s="1"/>
      <c r="G180" s="11" t="str">
        <f t="shared" si="15"/>
        <v/>
      </c>
      <c r="H180" s="11" t="str">
        <f t="shared" si="17"/>
        <v/>
      </c>
      <c r="K180"/>
      <c r="L180" s="21" t="str">
        <f t="shared" si="18"/>
        <v/>
      </c>
      <c r="U180" s="3" t="str">
        <f t="shared" si="19"/>
        <v/>
      </c>
      <c r="V180" s="4" t="str">
        <f t="shared" si="20"/>
        <v/>
      </c>
      <c r="W180" s="4" t="str">
        <f t="shared" si="21"/>
        <v/>
      </c>
      <c r="X180" t="str">
        <f t="shared" si="16"/>
        <v/>
      </c>
    </row>
    <row r="181" spans="3:24">
      <c r="C181" s="12"/>
      <c r="D181" s="1"/>
      <c r="E181" s="1"/>
      <c r="F181" s="1"/>
      <c r="G181" s="11" t="str">
        <f t="shared" si="15"/>
        <v/>
      </c>
      <c r="H181" s="11" t="str">
        <f t="shared" si="17"/>
        <v/>
      </c>
      <c r="K181"/>
      <c r="L181" s="21" t="str">
        <f t="shared" si="18"/>
        <v/>
      </c>
      <c r="U181" s="3" t="str">
        <f t="shared" si="19"/>
        <v/>
      </c>
      <c r="V181" s="4" t="str">
        <f t="shared" si="20"/>
        <v/>
      </c>
      <c r="W181" s="4" t="str">
        <f t="shared" si="21"/>
        <v/>
      </c>
      <c r="X181" t="str">
        <f t="shared" si="16"/>
        <v/>
      </c>
    </row>
    <row r="182" spans="3:24">
      <c r="C182" s="12"/>
      <c r="D182" s="1"/>
      <c r="E182" s="1"/>
      <c r="F182" s="1"/>
      <c r="G182" s="11" t="str">
        <f t="shared" si="15"/>
        <v/>
      </c>
      <c r="H182" s="11" t="str">
        <f t="shared" si="17"/>
        <v/>
      </c>
      <c r="K182"/>
      <c r="L182" s="21" t="str">
        <f t="shared" si="18"/>
        <v/>
      </c>
      <c r="U182" s="3" t="str">
        <f t="shared" si="19"/>
        <v/>
      </c>
      <c r="V182" s="4" t="str">
        <f t="shared" si="20"/>
        <v/>
      </c>
      <c r="W182" s="4" t="str">
        <f t="shared" si="21"/>
        <v/>
      </c>
      <c r="X182" t="str">
        <f t="shared" si="16"/>
        <v/>
      </c>
    </row>
    <row r="183" spans="3:24">
      <c r="C183" s="12"/>
      <c r="D183" s="1"/>
      <c r="E183" s="1"/>
      <c r="F183" s="1"/>
      <c r="G183" s="11" t="str">
        <f t="shared" si="15"/>
        <v/>
      </c>
      <c r="H183" s="11" t="str">
        <f t="shared" si="17"/>
        <v/>
      </c>
      <c r="K183"/>
      <c r="L183" s="21" t="str">
        <f t="shared" si="18"/>
        <v/>
      </c>
      <c r="U183" s="3" t="str">
        <f t="shared" si="19"/>
        <v/>
      </c>
      <c r="V183" s="4" t="str">
        <f t="shared" si="20"/>
        <v/>
      </c>
      <c r="W183" s="4" t="str">
        <f t="shared" si="21"/>
        <v/>
      </c>
      <c r="X183" t="str">
        <f t="shared" si="16"/>
        <v/>
      </c>
    </row>
    <row r="184" spans="3:24">
      <c r="C184" s="12"/>
      <c r="D184" s="1"/>
      <c r="E184" s="1"/>
      <c r="F184" s="1"/>
      <c r="G184" s="11" t="str">
        <f t="shared" si="15"/>
        <v/>
      </c>
      <c r="H184" s="11" t="str">
        <f t="shared" si="17"/>
        <v/>
      </c>
      <c r="K184"/>
      <c r="L184" s="21" t="str">
        <f t="shared" si="18"/>
        <v/>
      </c>
      <c r="U184" s="3" t="str">
        <f t="shared" si="19"/>
        <v/>
      </c>
      <c r="V184" s="4" t="str">
        <f t="shared" si="20"/>
        <v/>
      </c>
      <c r="W184" s="4" t="str">
        <f t="shared" si="21"/>
        <v/>
      </c>
      <c r="X184" t="str">
        <f t="shared" si="16"/>
        <v/>
      </c>
    </row>
    <row r="185" spans="3:24">
      <c r="C185" s="12"/>
      <c r="D185" s="1"/>
      <c r="E185" s="1"/>
      <c r="F185" s="1"/>
      <c r="G185" s="11" t="str">
        <f t="shared" si="15"/>
        <v/>
      </c>
      <c r="H185" s="11" t="str">
        <f t="shared" si="17"/>
        <v/>
      </c>
      <c r="K185"/>
      <c r="L185" s="21" t="str">
        <f t="shared" si="18"/>
        <v/>
      </c>
      <c r="U185" s="3" t="str">
        <f t="shared" si="19"/>
        <v/>
      </c>
      <c r="V185" s="4" t="str">
        <f t="shared" si="20"/>
        <v/>
      </c>
      <c r="W185" s="4" t="str">
        <f t="shared" si="21"/>
        <v/>
      </c>
      <c r="X185" t="str">
        <f t="shared" si="16"/>
        <v/>
      </c>
    </row>
    <row r="186" spans="3:24">
      <c r="C186" s="12"/>
      <c r="D186" s="1"/>
      <c r="E186" s="1"/>
      <c r="F186" s="1"/>
      <c r="G186" s="11" t="str">
        <f t="shared" si="15"/>
        <v/>
      </c>
      <c r="H186" s="11" t="str">
        <f t="shared" si="17"/>
        <v/>
      </c>
      <c r="K186"/>
      <c r="L186" s="21" t="str">
        <f t="shared" si="18"/>
        <v/>
      </c>
      <c r="U186" s="3" t="str">
        <f t="shared" si="19"/>
        <v/>
      </c>
      <c r="V186" s="4" t="str">
        <f t="shared" si="20"/>
        <v/>
      </c>
      <c r="W186" s="4" t="str">
        <f t="shared" si="21"/>
        <v/>
      </c>
      <c r="X186" t="str">
        <f t="shared" si="16"/>
        <v/>
      </c>
    </row>
    <row r="187" spans="3:24">
      <c r="C187" s="12"/>
      <c r="D187" s="1"/>
      <c r="E187" s="1"/>
      <c r="F187" s="1"/>
      <c r="G187" s="11" t="str">
        <f t="shared" si="15"/>
        <v/>
      </c>
      <c r="H187" s="11" t="str">
        <f t="shared" si="17"/>
        <v/>
      </c>
      <c r="K187"/>
      <c r="L187" s="21" t="str">
        <f t="shared" si="18"/>
        <v/>
      </c>
      <c r="U187" s="3" t="str">
        <f t="shared" si="19"/>
        <v/>
      </c>
      <c r="V187" s="4" t="str">
        <f t="shared" si="20"/>
        <v/>
      </c>
      <c r="W187" s="4" t="str">
        <f t="shared" si="21"/>
        <v/>
      </c>
      <c r="X187" t="str">
        <f t="shared" si="16"/>
        <v/>
      </c>
    </row>
    <row r="188" spans="3:24">
      <c r="C188" s="12"/>
      <c r="D188" s="1"/>
      <c r="E188" s="1"/>
      <c r="F188" s="1"/>
      <c r="G188" s="11" t="str">
        <f t="shared" si="15"/>
        <v/>
      </c>
      <c r="H188" s="11" t="str">
        <f t="shared" si="17"/>
        <v/>
      </c>
      <c r="K188"/>
      <c r="L188" s="21" t="str">
        <f t="shared" si="18"/>
        <v/>
      </c>
      <c r="U188" s="3" t="str">
        <f t="shared" si="19"/>
        <v/>
      </c>
      <c r="V188" s="4" t="str">
        <f t="shared" si="20"/>
        <v/>
      </c>
      <c r="W188" s="4" t="str">
        <f t="shared" si="21"/>
        <v/>
      </c>
      <c r="X188" t="str">
        <f t="shared" si="16"/>
        <v/>
      </c>
    </row>
    <row r="189" spans="3:24">
      <c r="C189" s="12"/>
      <c r="D189" s="1"/>
      <c r="E189" s="1"/>
      <c r="F189" s="1"/>
      <c r="G189" s="11" t="str">
        <f t="shared" si="15"/>
        <v/>
      </c>
      <c r="H189" s="11" t="str">
        <f t="shared" si="17"/>
        <v/>
      </c>
      <c r="K189"/>
      <c r="L189" s="21" t="str">
        <f t="shared" si="18"/>
        <v/>
      </c>
      <c r="U189" s="3" t="str">
        <f t="shared" si="19"/>
        <v/>
      </c>
      <c r="V189" s="4" t="str">
        <f t="shared" si="20"/>
        <v/>
      </c>
      <c r="W189" s="4" t="str">
        <f t="shared" si="21"/>
        <v/>
      </c>
      <c r="X189" t="str">
        <f t="shared" si="16"/>
        <v/>
      </c>
    </row>
    <row r="190" spans="3:24">
      <c r="C190" s="12"/>
      <c r="D190" s="1"/>
      <c r="E190" s="1"/>
      <c r="F190" s="1"/>
      <c r="G190" s="11" t="str">
        <f t="shared" si="15"/>
        <v/>
      </c>
      <c r="H190" s="11" t="str">
        <f t="shared" si="17"/>
        <v/>
      </c>
      <c r="K190"/>
      <c r="L190" s="21" t="str">
        <f t="shared" si="18"/>
        <v/>
      </c>
      <c r="U190" s="3" t="str">
        <f t="shared" si="19"/>
        <v/>
      </c>
      <c r="V190" s="4" t="str">
        <f t="shared" si="20"/>
        <v/>
      </c>
      <c r="W190" s="4" t="str">
        <f t="shared" si="21"/>
        <v/>
      </c>
      <c r="X190" t="str">
        <f t="shared" si="16"/>
        <v/>
      </c>
    </row>
    <row r="191" spans="3:24">
      <c r="C191" s="12"/>
      <c r="D191" s="1"/>
      <c r="E191" s="1"/>
      <c r="F191" s="1"/>
      <c r="G191" s="11" t="str">
        <f t="shared" si="15"/>
        <v/>
      </c>
      <c r="H191" s="11" t="str">
        <f t="shared" si="17"/>
        <v/>
      </c>
      <c r="K191"/>
      <c r="L191" s="21" t="str">
        <f t="shared" si="18"/>
        <v/>
      </c>
      <c r="U191" s="3" t="str">
        <f t="shared" si="19"/>
        <v/>
      </c>
      <c r="V191" s="4" t="str">
        <f t="shared" si="20"/>
        <v/>
      </c>
      <c r="W191" s="4" t="str">
        <f t="shared" si="21"/>
        <v/>
      </c>
      <c r="X191" t="str">
        <f t="shared" si="16"/>
        <v/>
      </c>
    </row>
    <row r="192" spans="3:24">
      <c r="C192" s="12"/>
      <c r="D192" s="1"/>
      <c r="E192" s="1"/>
      <c r="F192" s="1"/>
      <c r="G192" s="11" t="str">
        <f t="shared" si="15"/>
        <v/>
      </c>
      <c r="H192" s="11" t="str">
        <f t="shared" si="17"/>
        <v/>
      </c>
      <c r="K192"/>
      <c r="L192" s="21" t="str">
        <f t="shared" si="18"/>
        <v/>
      </c>
      <c r="U192" s="3" t="str">
        <f t="shared" si="19"/>
        <v/>
      </c>
      <c r="V192" s="4" t="str">
        <f t="shared" si="20"/>
        <v/>
      </c>
      <c r="W192" s="4" t="str">
        <f t="shared" si="21"/>
        <v/>
      </c>
      <c r="X192" t="str">
        <f t="shared" si="16"/>
        <v/>
      </c>
    </row>
    <row r="193" spans="3:24">
      <c r="C193" s="12"/>
      <c r="D193" s="1"/>
      <c r="E193" s="1"/>
      <c r="F193" s="1"/>
      <c r="G193" s="11" t="str">
        <f t="shared" si="15"/>
        <v/>
      </c>
      <c r="H193" s="11" t="str">
        <f t="shared" si="17"/>
        <v/>
      </c>
      <c r="K193"/>
      <c r="L193" s="21" t="str">
        <f t="shared" si="18"/>
        <v/>
      </c>
      <c r="U193" s="3" t="str">
        <f t="shared" si="19"/>
        <v/>
      </c>
      <c r="V193" s="4" t="str">
        <f t="shared" si="20"/>
        <v/>
      </c>
      <c r="W193" s="4" t="str">
        <f t="shared" si="21"/>
        <v/>
      </c>
      <c r="X193" t="str">
        <f t="shared" si="16"/>
        <v/>
      </c>
    </row>
    <row r="194" spans="3:24">
      <c r="C194" s="12"/>
      <c r="D194" s="1"/>
      <c r="E194" s="1"/>
      <c r="F194" s="1"/>
      <c r="G194" s="11" t="str">
        <f t="shared" ref="G194:G257" si="22">IF(X194="", "", TIMEVALUE("0:" &amp; X194))</f>
        <v/>
      </c>
      <c r="H194" s="11" t="str">
        <f t="shared" si="17"/>
        <v/>
      </c>
      <c r="K194"/>
      <c r="L194" s="21" t="str">
        <f t="shared" si="18"/>
        <v/>
      </c>
      <c r="U194" s="3" t="str">
        <f t="shared" si="19"/>
        <v/>
      </c>
      <c r="V194" s="4" t="str">
        <f t="shared" si="20"/>
        <v/>
      </c>
      <c r="W194" s="4" t="str">
        <f t="shared" si="21"/>
        <v/>
      </c>
      <c r="X194" t="str">
        <f t="shared" ref="X194:X257" si="23">IF(V194="", "", IF(MOD(W194,1)*60&gt;=59.5, TEXT(INT(W194)+1, "0") &amp; ":00", TEXT(INT(W194), "0") &amp; ":" &amp; TEXT(ROUND(MOD(W194,1)*60, 0), "00")))</f>
        <v/>
      </c>
    </row>
    <row r="195" spans="3:24">
      <c r="C195" s="12"/>
      <c r="D195" s="1"/>
      <c r="E195" s="1"/>
      <c r="F195" s="1"/>
      <c r="G195" s="11" t="str">
        <f t="shared" si="22"/>
        <v/>
      </c>
      <c r="H195" s="11" t="str">
        <f t="shared" ref="H195:H258" si="24">IF(X195="", "", TIMEVALUE("0:" &amp; X195))</f>
        <v/>
      </c>
      <c r="K195"/>
      <c r="L195" s="21" t="str">
        <f t="shared" ref="L195:L258" si="25">HYPERLINK("#'2024ds'!B" &amp; ROW(B195), "")</f>
        <v/>
      </c>
      <c r="U195" s="3" t="str">
        <f t="shared" ref="U195:U258" si="26">IF(C195="","",TIMEVALUE(C195))</f>
        <v/>
      </c>
      <c r="V195" s="4" t="str">
        <f t="shared" ref="V195:V258" si="27">IF(C195="","",HOUR(C195)*60 + MINUTE(C195) + SECOND(C195)/60)</f>
        <v/>
      </c>
      <c r="W195" s="4" t="str">
        <f t="shared" ref="W195:W258" si="28">IF(V195="","",V195/D195)</f>
        <v/>
      </c>
      <c r="X195" t="str">
        <f t="shared" si="23"/>
        <v/>
      </c>
    </row>
    <row r="196" spans="3:24">
      <c r="C196" s="12"/>
      <c r="D196" s="1"/>
      <c r="E196" s="1"/>
      <c r="F196" s="1"/>
      <c r="G196" s="11" t="str">
        <f t="shared" si="22"/>
        <v/>
      </c>
      <c r="H196" s="11" t="str">
        <f t="shared" si="24"/>
        <v/>
      </c>
      <c r="K196"/>
      <c r="L196" s="21" t="str">
        <f t="shared" si="25"/>
        <v/>
      </c>
      <c r="U196" s="3" t="str">
        <f t="shared" si="26"/>
        <v/>
      </c>
      <c r="V196" s="4" t="str">
        <f t="shared" si="27"/>
        <v/>
      </c>
      <c r="W196" s="4" t="str">
        <f t="shared" si="28"/>
        <v/>
      </c>
      <c r="X196" t="str">
        <f t="shared" si="23"/>
        <v/>
      </c>
    </row>
    <row r="197" spans="3:24">
      <c r="C197" s="12"/>
      <c r="D197" s="1"/>
      <c r="E197" s="1"/>
      <c r="F197" s="1"/>
      <c r="G197" s="11" t="str">
        <f t="shared" si="22"/>
        <v/>
      </c>
      <c r="H197" s="11" t="str">
        <f t="shared" si="24"/>
        <v/>
      </c>
      <c r="K197"/>
      <c r="L197" s="21" t="str">
        <f t="shared" si="25"/>
        <v/>
      </c>
      <c r="U197" s="3" t="str">
        <f t="shared" si="26"/>
        <v/>
      </c>
      <c r="V197" s="4" t="str">
        <f t="shared" si="27"/>
        <v/>
      </c>
      <c r="W197" s="4" t="str">
        <f t="shared" si="28"/>
        <v/>
      </c>
      <c r="X197" t="str">
        <f t="shared" si="23"/>
        <v/>
      </c>
    </row>
    <row r="198" spans="3:24">
      <c r="C198" s="12"/>
      <c r="D198" s="1"/>
      <c r="E198" s="1"/>
      <c r="F198" s="1"/>
      <c r="G198" s="11" t="str">
        <f t="shared" si="22"/>
        <v/>
      </c>
      <c r="H198" s="11" t="str">
        <f t="shared" si="24"/>
        <v/>
      </c>
      <c r="K198"/>
      <c r="L198" s="21" t="str">
        <f t="shared" si="25"/>
        <v/>
      </c>
      <c r="U198" s="3" t="str">
        <f t="shared" si="26"/>
        <v/>
      </c>
      <c r="V198" s="4" t="str">
        <f t="shared" si="27"/>
        <v/>
      </c>
      <c r="W198" s="4" t="str">
        <f t="shared" si="28"/>
        <v/>
      </c>
      <c r="X198" t="str">
        <f t="shared" si="23"/>
        <v/>
      </c>
    </row>
    <row r="199" spans="3:24">
      <c r="C199" s="12"/>
      <c r="D199" s="1"/>
      <c r="E199" s="1"/>
      <c r="F199" s="1"/>
      <c r="G199" s="11" t="str">
        <f t="shared" si="22"/>
        <v/>
      </c>
      <c r="H199" s="11" t="str">
        <f t="shared" si="24"/>
        <v/>
      </c>
      <c r="K199"/>
      <c r="L199" s="21" t="str">
        <f t="shared" si="25"/>
        <v/>
      </c>
      <c r="U199" s="3" t="str">
        <f t="shared" si="26"/>
        <v/>
      </c>
      <c r="V199" s="4" t="str">
        <f t="shared" si="27"/>
        <v/>
      </c>
      <c r="W199" s="4" t="str">
        <f t="shared" si="28"/>
        <v/>
      </c>
      <c r="X199" t="str">
        <f t="shared" si="23"/>
        <v/>
      </c>
    </row>
    <row r="200" spans="3:24">
      <c r="C200" s="12"/>
      <c r="D200" s="1"/>
      <c r="E200" s="1"/>
      <c r="F200" s="1"/>
      <c r="G200" s="11" t="str">
        <f t="shared" si="22"/>
        <v/>
      </c>
      <c r="H200" s="11" t="str">
        <f t="shared" si="24"/>
        <v/>
      </c>
      <c r="K200"/>
      <c r="L200" s="21" t="str">
        <f t="shared" si="25"/>
        <v/>
      </c>
      <c r="U200" s="3" t="str">
        <f t="shared" si="26"/>
        <v/>
      </c>
      <c r="V200" s="4" t="str">
        <f t="shared" si="27"/>
        <v/>
      </c>
      <c r="W200" s="4" t="str">
        <f t="shared" si="28"/>
        <v/>
      </c>
      <c r="X200" t="str">
        <f t="shared" si="23"/>
        <v/>
      </c>
    </row>
    <row r="201" spans="3:24">
      <c r="C201" s="12"/>
      <c r="D201" s="1"/>
      <c r="E201" s="1"/>
      <c r="F201" s="1"/>
      <c r="G201" s="11" t="str">
        <f t="shared" si="22"/>
        <v/>
      </c>
      <c r="H201" s="11" t="str">
        <f t="shared" si="24"/>
        <v/>
      </c>
      <c r="K201"/>
      <c r="L201" s="21" t="str">
        <f t="shared" si="25"/>
        <v/>
      </c>
      <c r="U201" s="3" t="str">
        <f t="shared" si="26"/>
        <v/>
      </c>
      <c r="V201" s="4" t="str">
        <f t="shared" si="27"/>
        <v/>
      </c>
      <c r="W201" s="4" t="str">
        <f t="shared" si="28"/>
        <v/>
      </c>
      <c r="X201" t="str">
        <f t="shared" si="23"/>
        <v/>
      </c>
    </row>
    <row r="202" spans="3:24">
      <c r="C202" s="12"/>
      <c r="D202" s="1"/>
      <c r="E202" s="1"/>
      <c r="F202" s="1"/>
      <c r="G202" s="11" t="str">
        <f t="shared" si="22"/>
        <v/>
      </c>
      <c r="H202" s="11" t="str">
        <f t="shared" si="24"/>
        <v/>
      </c>
      <c r="K202"/>
      <c r="L202" s="21" t="str">
        <f t="shared" si="25"/>
        <v/>
      </c>
      <c r="U202" s="3" t="str">
        <f t="shared" si="26"/>
        <v/>
      </c>
      <c r="V202" s="4" t="str">
        <f t="shared" si="27"/>
        <v/>
      </c>
      <c r="W202" s="4" t="str">
        <f t="shared" si="28"/>
        <v/>
      </c>
      <c r="X202" t="str">
        <f t="shared" si="23"/>
        <v/>
      </c>
    </row>
    <row r="203" spans="3:24">
      <c r="C203" s="12"/>
      <c r="D203" s="1"/>
      <c r="E203" s="1"/>
      <c r="F203" s="1"/>
      <c r="G203" s="11" t="str">
        <f t="shared" si="22"/>
        <v/>
      </c>
      <c r="H203" s="11" t="str">
        <f t="shared" si="24"/>
        <v/>
      </c>
      <c r="K203"/>
      <c r="L203" s="21" t="str">
        <f t="shared" si="25"/>
        <v/>
      </c>
      <c r="U203" s="3" t="str">
        <f t="shared" si="26"/>
        <v/>
      </c>
      <c r="V203" s="4" t="str">
        <f t="shared" si="27"/>
        <v/>
      </c>
      <c r="W203" s="4" t="str">
        <f t="shared" si="28"/>
        <v/>
      </c>
      <c r="X203" t="str">
        <f t="shared" si="23"/>
        <v/>
      </c>
    </row>
    <row r="204" spans="3:24">
      <c r="C204" s="12"/>
      <c r="D204" s="1"/>
      <c r="E204" s="1"/>
      <c r="F204" s="1"/>
      <c r="G204" s="11" t="str">
        <f t="shared" si="22"/>
        <v/>
      </c>
      <c r="H204" s="11" t="str">
        <f t="shared" si="24"/>
        <v/>
      </c>
      <c r="K204"/>
      <c r="L204" s="21" t="str">
        <f t="shared" si="25"/>
        <v/>
      </c>
      <c r="U204" s="3" t="str">
        <f t="shared" si="26"/>
        <v/>
      </c>
      <c r="V204" s="4" t="str">
        <f t="shared" si="27"/>
        <v/>
      </c>
      <c r="W204" s="4" t="str">
        <f t="shared" si="28"/>
        <v/>
      </c>
      <c r="X204" t="str">
        <f t="shared" si="23"/>
        <v/>
      </c>
    </row>
    <row r="205" spans="3:24">
      <c r="C205" s="12"/>
      <c r="D205" s="1"/>
      <c r="E205" s="1"/>
      <c r="F205" s="1"/>
      <c r="G205" s="11" t="str">
        <f t="shared" si="22"/>
        <v/>
      </c>
      <c r="H205" s="11" t="str">
        <f t="shared" si="24"/>
        <v/>
      </c>
      <c r="K205"/>
      <c r="L205" s="21" t="str">
        <f t="shared" si="25"/>
        <v/>
      </c>
      <c r="U205" s="3" t="str">
        <f t="shared" si="26"/>
        <v/>
      </c>
      <c r="V205" s="4" t="str">
        <f t="shared" si="27"/>
        <v/>
      </c>
      <c r="W205" s="4" t="str">
        <f t="shared" si="28"/>
        <v/>
      </c>
      <c r="X205" t="str">
        <f t="shared" si="23"/>
        <v/>
      </c>
    </row>
    <row r="206" spans="3:24">
      <c r="C206" s="12"/>
      <c r="D206" s="1"/>
      <c r="E206" s="1"/>
      <c r="F206" s="1"/>
      <c r="G206" s="11" t="str">
        <f t="shared" si="22"/>
        <v/>
      </c>
      <c r="H206" s="11" t="str">
        <f t="shared" si="24"/>
        <v/>
      </c>
      <c r="K206"/>
      <c r="L206" s="21" t="str">
        <f t="shared" si="25"/>
        <v/>
      </c>
      <c r="U206" s="3" t="str">
        <f t="shared" si="26"/>
        <v/>
      </c>
      <c r="V206" s="4" t="str">
        <f t="shared" si="27"/>
        <v/>
      </c>
      <c r="W206" s="4" t="str">
        <f t="shared" si="28"/>
        <v/>
      </c>
      <c r="X206" t="str">
        <f t="shared" si="23"/>
        <v/>
      </c>
    </row>
    <row r="207" spans="3:24">
      <c r="C207" s="12"/>
      <c r="D207" s="1"/>
      <c r="E207" s="1"/>
      <c r="F207" s="1"/>
      <c r="G207" s="11" t="str">
        <f t="shared" si="22"/>
        <v/>
      </c>
      <c r="H207" s="11" t="str">
        <f t="shared" si="24"/>
        <v/>
      </c>
      <c r="K207"/>
      <c r="L207" s="21" t="str">
        <f t="shared" si="25"/>
        <v/>
      </c>
      <c r="U207" s="3" t="str">
        <f t="shared" si="26"/>
        <v/>
      </c>
      <c r="V207" s="4" t="str">
        <f t="shared" si="27"/>
        <v/>
      </c>
      <c r="W207" s="4" t="str">
        <f t="shared" si="28"/>
        <v/>
      </c>
      <c r="X207" t="str">
        <f t="shared" si="23"/>
        <v/>
      </c>
    </row>
    <row r="208" spans="3:24">
      <c r="C208" s="12"/>
      <c r="D208" s="1"/>
      <c r="E208" s="1"/>
      <c r="F208" s="1"/>
      <c r="G208" s="11" t="str">
        <f t="shared" si="22"/>
        <v/>
      </c>
      <c r="H208" s="11" t="str">
        <f t="shared" si="24"/>
        <v/>
      </c>
      <c r="K208"/>
      <c r="L208" s="21" t="str">
        <f t="shared" si="25"/>
        <v/>
      </c>
      <c r="U208" s="3" t="str">
        <f t="shared" si="26"/>
        <v/>
      </c>
      <c r="V208" s="4" t="str">
        <f t="shared" si="27"/>
        <v/>
      </c>
      <c r="W208" s="4" t="str">
        <f t="shared" si="28"/>
        <v/>
      </c>
      <c r="X208" t="str">
        <f t="shared" si="23"/>
        <v/>
      </c>
    </row>
    <row r="209" spans="3:24">
      <c r="C209" s="12"/>
      <c r="D209" s="1"/>
      <c r="E209" s="1"/>
      <c r="F209" s="1"/>
      <c r="G209" s="11" t="str">
        <f t="shared" si="22"/>
        <v/>
      </c>
      <c r="H209" s="11" t="str">
        <f t="shared" si="24"/>
        <v/>
      </c>
      <c r="K209"/>
      <c r="L209" s="21" t="str">
        <f t="shared" si="25"/>
        <v/>
      </c>
      <c r="U209" s="3" t="str">
        <f t="shared" si="26"/>
        <v/>
      </c>
      <c r="V209" s="4" t="str">
        <f t="shared" si="27"/>
        <v/>
      </c>
      <c r="W209" s="4" t="str">
        <f t="shared" si="28"/>
        <v/>
      </c>
      <c r="X209" t="str">
        <f t="shared" si="23"/>
        <v/>
      </c>
    </row>
    <row r="210" spans="3:24">
      <c r="C210" s="12"/>
      <c r="D210" s="1"/>
      <c r="E210" s="1"/>
      <c r="F210" s="1"/>
      <c r="G210" s="11" t="str">
        <f t="shared" si="22"/>
        <v/>
      </c>
      <c r="H210" s="11" t="str">
        <f t="shared" si="24"/>
        <v/>
      </c>
      <c r="K210"/>
      <c r="L210" s="21" t="str">
        <f t="shared" si="25"/>
        <v/>
      </c>
      <c r="U210" s="3" t="str">
        <f t="shared" si="26"/>
        <v/>
      </c>
      <c r="V210" s="4" t="str">
        <f t="shared" si="27"/>
        <v/>
      </c>
      <c r="W210" s="4" t="str">
        <f t="shared" si="28"/>
        <v/>
      </c>
      <c r="X210" t="str">
        <f t="shared" si="23"/>
        <v/>
      </c>
    </row>
    <row r="211" spans="3:24">
      <c r="C211" s="12"/>
      <c r="D211" s="1"/>
      <c r="E211" s="1"/>
      <c r="F211" s="1"/>
      <c r="G211" s="11" t="str">
        <f t="shared" si="22"/>
        <v/>
      </c>
      <c r="H211" s="11" t="str">
        <f t="shared" si="24"/>
        <v/>
      </c>
      <c r="K211"/>
      <c r="L211" s="21" t="str">
        <f t="shared" si="25"/>
        <v/>
      </c>
      <c r="U211" s="3" t="str">
        <f t="shared" si="26"/>
        <v/>
      </c>
      <c r="V211" s="4" t="str">
        <f t="shared" si="27"/>
        <v/>
      </c>
      <c r="W211" s="4" t="str">
        <f t="shared" si="28"/>
        <v/>
      </c>
      <c r="X211" t="str">
        <f t="shared" si="23"/>
        <v/>
      </c>
    </row>
    <row r="212" spans="3:24">
      <c r="C212" s="12"/>
      <c r="D212" s="1"/>
      <c r="E212" s="1"/>
      <c r="F212" s="1"/>
      <c r="G212" s="11" t="str">
        <f t="shared" si="22"/>
        <v/>
      </c>
      <c r="H212" s="11" t="str">
        <f t="shared" si="24"/>
        <v/>
      </c>
      <c r="K212"/>
      <c r="L212" s="21" t="str">
        <f t="shared" si="25"/>
        <v/>
      </c>
      <c r="U212" s="3" t="str">
        <f t="shared" si="26"/>
        <v/>
      </c>
      <c r="V212" s="4" t="str">
        <f t="shared" si="27"/>
        <v/>
      </c>
      <c r="W212" s="4" t="str">
        <f t="shared" si="28"/>
        <v/>
      </c>
      <c r="X212" t="str">
        <f t="shared" si="23"/>
        <v/>
      </c>
    </row>
    <row r="213" spans="3:24">
      <c r="C213" s="12"/>
      <c r="D213" s="1"/>
      <c r="E213" s="1"/>
      <c r="F213" s="1"/>
      <c r="G213" s="11" t="str">
        <f t="shared" si="22"/>
        <v/>
      </c>
      <c r="H213" s="11" t="str">
        <f t="shared" si="24"/>
        <v/>
      </c>
      <c r="K213"/>
      <c r="L213" s="21" t="str">
        <f t="shared" si="25"/>
        <v/>
      </c>
      <c r="U213" s="3" t="str">
        <f t="shared" si="26"/>
        <v/>
      </c>
      <c r="V213" s="4" t="str">
        <f t="shared" si="27"/>
        <v/>
      </c>
      <c r="W213" s="4" t="str">
        <f t="shared" si="28"/>
        <v/>
      </c>
      <c r="X213" t="str">
        <f t="shared" si="23"/>
        <v/>
      </c>
    </row>
    <row r="214" spans="3:24">
      <c r="C214" s="12"/>
      <c r="D214" s="1"/>
      <c r="E214" s="1"/>
      <c r="F214" s="1"/>
      <c r="G214" s="11" t="str">
        <f t="shared" si="22"/>
        <v/>
      </c>
      <c r="H214" s="11" t="str">
        <f t="shared" si="24"/>
        <v/>
      </c>
      <c r="K214"/>
      <c r="L214" s="21" t="str">
        <f t="shared" si="25"/>
        <v/>
      </c>
      <c r="U214" s="3" t="str">
        <f t="shared" si="26"/>
        <v/>
      </c>
      <c r="V214" s="4" t="str">
        <f t="shared" si="27"/>
        <v/>
      </c>
      <c r="W214" s="4" t="str">
        <f t="shared" si="28"/>
        <v/>
      </c>
      <c r="X214" t="str">
        <f t="shared" si="23"/>
        <v/>
      </c>
    </row>
    <row r="215" spans="3:24">
      <c r="C215" s="12"/>
      <c r="D215" s="1"/>
      <c r="E215" s="1"/>
      <c r="F215" s="1"/>
      <c r="G215" s="11" t="str">
        <f t="shared" si="22"/>
        <v/>
      </c>
      <c r="H215" s="11" t="str">
        <f t="shared" si="24"/>
        <v/>
      </c>
      <c r="K215"/>
      <c r="L215" s="21" t="str">
        <f t="shared" si="25"/>
        <v/>
      </c>
      <c r="U215" s="3" t="str">
        <f t="shared" si="26"/>
        <v/>
      </c>
      <c r="V215" s="4" t="str">
        <f t="shared" si="27"/>
        <v/>
      </c>
      <c r="W215" s="4" t="str">
        <f t="shared" si="28"/>
        <v/>
      </c>
      <c r="X215" t="str">
        <f t="shared" si="23"/>
        <v/>
      </c>
    </row>
    <row r="216" spans="3:24">
      <c r="C216" s="12"/>
      <c r="D216" s="1"/>
      <c r="E216" s="1"/>
      <c r="F216" s="1"/>
      <c r="G216" s="11" t="str">
        <f t="shared" si="22"/>
        <v/>
      </c>
      <c r="H216" s="11" t="str">
        <f t="shared" si="24"/>
        <v/>
      </c>
      <c r="K216"/>
      <c r="L216" s="21" t="str">
        <f t="shared" si="25"/>
        <v/>
      </c>
      <c r="U216" s="3" t="str">
        <f t="shared" si="26"/>
        <v/>
      </c>
      <c r="V216" s="4" t="str">
        <f t="shared" si="27"/>
        <v/>
      </c>
      <c r="W216" s="4" t="str">
        <f t="shared" si="28"/>
        <v/>
      </c>
      <c r="X216" t="str">
        <f t="shared" si="23"/>
        <v/>
      </c>
    </row>
    <row r="217" spans="3:24">
      <c r="C217" s="12"/>
      <c r="D217" s="1"/>
      <c r="E217" s="1"/>
      <c r="F217" s="1"/>
      <c r="G217" s="11" t="str">
        <f t="shared" si="22"/>
        <v/>
      </c>
      <c r="H217" s="11" t="str">
        <f t="shared" si="24"/>
        <v/>
      </c>
      <c r="K217"/>
      <c r="L217" s="21" t="str">
        <f t="shared" si="25"/>
        <v/>
      </c>
      <c r="U217" s="3" t="str">
        <f t="shared" si="26"/>
        <v/>
      </c>
      <c r="V217" s="4" t="str">
        <f t="shared" si="27"/>
        <v/>
      </c>
      <c r="W217" s="4" t="str">
        <f t="shared" si="28"/>
        <v/>
      </c>
      <c r="X217" t="str">
        <f t="shared" si="23"/>
        <v/>
      </c>
    </row>
    <row r="218" spans="3:24">
      <c r="C218" s="12"/>
      <c r="D218" s="1"/>
      <c r="E218" s="1"/>
      <c r="F218" s="1"/>
      <c r="G218" s="11" t="str">
        <f t="shared" si="22"/>
        <v/>
      </c>
      <c r="H218" s="11" t="str">
        <f t="shared" si="24"/>
        <v/>
      </c>
      <c r="K218"/>
      <c r="L218" s="21" t="str">
        <f t="shared" si="25"/>
        <v/>
      </c>
      <c r="U218" s="3" t="str">
        <f t="shared" si="26"/>
        <v/>
      </c>
      <c r="V218" s="4" t="str">
        <f t="shared" si="27"/>
        <v/>
      </c>
      <c r="W218" s="4" t="str">
        <f t="shared" si="28"/>
        <v/>
      </c>
      <c r="X218" t="str">
        <f t="shared" si="23"/>
        <v/>
      </c>
    </row>
    <row r="219" spans="3:24">
      <c r="C219" s="12"/>
      <c r="D219" s="1"/>
      <c r="E219" s="1"/>
      <c r="F219" s="1"/>
      <c r="G219" s="11" t="str">
        <f t="shared" si="22"/>
        <v/>
      </c>
      <c r="H219" s="11" t="str">
        <f t="shared" si="24"/>
        <v/>
      </c>
      <c r="K219"/>
      <c r="L219" s="21" t="str">
        <f t="shared" si="25"/>
        <v/>
      </c>
      <c r="U219" s="3" t="str">
        <f t="shared" si="26"/>
        <v/>
      </c>
      <c r="V219" s="4" t="str">
        <f t="shared" si="27"/>
        <v/>
      </c>
      <c r="W219" s="4" t="str">
        <f t="shared" si="28"/>
        <v/>
      </c>
      <c r="X219" t="str">
        <f t="shared" si="23"/>
        <v/>
      </c>
    </row>
    <row r="220" spans="3:24">
      <c r="C220" s="12"/>
      <c r="D220" s="1"/>
      <c r="E220" s="1"/>
      <c r="F220" s="1"/>
      <c r="G220" s="11" t="str">
        <f t="shared" si="22"/>
        <v/>
      </c>
      <c r="H220" s="11" t="str">
        <f t="shared" si="24"/>
        <v/>
      </c>
      <c r="K220"/>
      <c r="L220" s="21" t="str">
        <f t="shared" si="25"/>
        <v/>
      </c>
      <c r="U220" s="3" t="str">
        <f t="shared" si="26"/>
        <v/>
      </c>
      <c r="V220" s="4" t="str">
        <f t="shared" si="27"/>
        <v/>
      </c>
      <c r="W220" s="4" t="str">
        <f t="shared" si="28"/>
        <v/>
      </c>
      <c r="X220" t="str">
        <f t="shared" si="23"/>
        <v/>
      </c>
    </row>
    <row r="221" spans="3:24">
      <c r="C221" s="12"/>
      <c r="D221" s="1"/>
      <c r="E221" s="1"/>
      <c r="F221" s="1"/>
      <c r="G221" s="11" t="str">
        <f t="shared" si="22"/>
        <v/>
      </c>
      <c r="H221" s="11" t="str">
        <f t="shared" si="24"/>
        <v/>
      </c>
      <c r="K221"/>
      <c r="L221" s="21" t="str">
        <f t="shared" si="25"/>
        <v/>
      </c>
      <c r="U221" s="3" t="str">
        <f t="shared" si="26"/>
        <v/>
      </c>
      <c r="V221" s="4" t="str">
        <f t="shared" si="27"/>
        <v/>
      </c>
      <c r="W221" s="4" t="str">
        <f t="shared" si="28"/>
        <v/>
      </c>
      <c r="X221" t="str">
        <f t="shared" si="23"/>
        <v/>
      </c>
    </row>
    <row r="222" spans="3:24">
      <c r="C222" s="12"/>
      <c r="D222" s="1"/>
      <c r="E222" s="1"/>
      <c r="F222" s="1"/>
      <c r="G222" s="11" t="str">
        <f t="shared" si="22"/>
        <v/>
      </c>
      <c r="H222" s="11" t="str">
        <f t="shared" si="24"/>
        <v/>
      </c>
      <c r="K222"/>
      <c r="L222" s="21" t="str">
        <f t="shared" si="25"/>
        <v/>
      </c>
      <c r="U222" s="3" t="str">
        <f t="shared" si="26"/>
        <v/>
      </c>
      <c r="V222" s="4" t="str">
        <f t="shared" si="27"/>
        <v/>
      </c>
      <c r="W222" s="4" t="str">
        <f t="shared" si="28"/>
        <v/>
      </c>
      <c r="X222" t="str">
        <f t="shared" si="23"/>
        <v/>
      </c>
    </row>
    <row r="223" spans="3:24">
      <c r="C223" s="12"/>
      <c r="D223" s="1"/>
      <c r="E223" s="1"/>
      <c r="F223" s="1"/>
      <c r="G223" s="11" t="str">
        <f t="shared" si="22"/>
        <v/>
      </c>
      <c r="H223" s="11" t="str">
        <f t="shared" si="24"/>
        <v/>
      </c>
      <c r="K223"/>
      <c r="L223" s="21" t="str">
        <f t="shared" si="25"/>
        <v/>
      </c>
      <c r="U223" s="3" t="str">
        <f t="shared" si="26"/>
        <v/>
      </c>
      <c r="V223" s="4" t="str">
        <f t="shared" si="27"/>
        <v/>
      </c>
      <c r="W223" s="4" t="str">
        <f t="shared" si="28"/>
        <v/>
      </c>
      <c r="X223" t="str">
        <f t="shared" si="23"/>
        <v/>
      </c>
    </row>
    <row r="224" spans="3:24">
      <c r="C224" s="12"/>
      <c r="D224" s="1"/>
      <c r="E224" s="1"/>
      <c r="F224" s="1"/>
      <c r="G224" s="11" t="str">
        <f t="shared" si="22"/>
        <v/>
      </c>
      <c r="H224" s="11" t="str">
        <f t="shared" si="24"/>
        <v/>
      </c>
      <c r="K224"/>
      <c r="L224" s="21" t="str">
        <f t="shared" si="25"/>
        <v/>
      </c>
      <c r="U224" s="3" t="str">
        <f t="shared" si="26"/>
        <v/>
      </c>
      <c r="V224" s="4" t="str">
        <f t="shared" si="27"/>
        <v/>
      </c>
      <c r="W224" s="4" t="str">
        <f t="shared" si="28"/>
        <v/>
      </c>
      <c r="X224" t="str">
        <f t="shared" si="23"/>
        <v/>
      </c>
    </row>
    <row r="225" spans="3:24">
      <c r="C225" s="12"/>
      <c r="D225" s="1"/>
      <c r="E225" s="1"/>
      <c r="F225" s="1"/>
      <c r="G225" s="11" t="str">
        <f t="shared" si="22"/>
        <v/>
      </c>
      <c r="H225" s="11" t="str">
        <f t="shared" si="24"/>
        <v/>
      </c>
      <c r="K225"/>
      <c r="L225" s="21" t="str">
        <f t="shared" si="25"/>
        <v/>
      </c>
      <c r="U225" s="3" t="str">
        <f t="shared" si="26"/>
        <v/>
      </c>
      <c r="V225" s="4" t="str">
        <f t="shared" si="27"/>
        <v/>
      </c>
      <c r="W225" s="4" t="str">
        <f t="shared" si="28"/>
        <v/>
      </c>
      <c r="X225" t="str">
        <f t="shared" si="23"/>
        <v/>
      </c>
    </row>
    <row r="226" spans="3:24">
      <c r="C226" s="12"/>
      <c r="D226" s="1"/>
      <c r="E226" s="1"/>
      <c r="F226" s="1"/>
      <c r="G226" s="11" t="str">
        <f t="shared" si="22"/>
        <v/>
      </c>
      <c r="H226" s="11" t="str">
        <f t="shared" si="24"/>
        <v/>
      </c>
      <c r="K226"/>
      <c r="L226" s="21" t="str">
        <f t="shared" si="25"/>
        <v/>
      </c>
      <c r="U226" s="3" t="str">
        <f t="shared" si="26"/>
        <v/>
      </c>
      <c r="V226" s="4" t="str">
        <f t="shared" si="27"/>
        <v/>
      </c>
      <c r="W226" s="4" t="str">
        <f t="shared" si="28"/>
        <v/>
      </c>
      <c r="X226" t="str">
        <f t="shared" si="23"/>
        <v/>
      </c>
    </row>
    <row r="227" spans="3:24">
      <c r="C227" s="12"/>
      <c r="D227" s="1"/>
      <c r="E227" s="1"/>
      <c r="F227" s="1"/>
      <c r="G227" s="11" t="str">
        <f t="shared" si="22"/>
        <v/>
      </c>
      <c r="H227" s="11" t="str">
        <f t="shared" si="24"/>
        <v/>
      </c>
      <c r="K227"/>
      <c r="L227" s="21" t="str">
        <f t="shared" si="25"/>
        <v/>
      </c>
      <c r="U227" s="3" t="str">
        <f t="shared" si="26"/>
        <v/>
      </c>
      <c r="V227" s="4" t="str">
        <f t="shared" si="27"/>
        <v/>
      </c>
      <c r="W227" s="4" t="str">
        <f t="shared" si="28"/>
        <v/>
      </c>
      <c r="X227" t="str">
        <f t="shared" si="23"/>
        <v/>
      </c>
    </row>
    <row r="228" spans="3:24">
      <c r="C228" s="12"/>
      <c r="D228" s="1"/>
      <c r="E228" s="1"/>
      <c r="F228" s="1"/>
      <c r="G228" s="11" t="str">
        <f t="shared" si="22"/>
        <v/>
      </c>
      <c r="H228" s="11" t="str">
        <f t="shared" si="24"/>
        <v/>
      </c>
      <c r="K228"/>
      <c r="L228" s="21" t="str">
        <f t="shared" si="25"/>
        <v/>
      </c>
      <c r="U228" s="3" t="str">
        <f t="shared" si="26"/>
        <v/>
      </c>
      <c r="V228" s="4" t="str">
        <f t="shared" si="27"/>
        <v/>
      </c>
      <c r="W228" s="4" t="str">
        <f t="shared" si="28"/>
        <v/>
      </c>
      <c r="X228" t="str">
        <f t="shared" si="23"/>
        <v/>
      </c>
    </row>
    <row r="229" spans="3:24">
      <c r="C229" s="12"/>
      <c r="D229" s="1"/>
      <c r="E229" s="1"/>
      <c r="F229" s="1"/>
      <c r="G229" s="11" t="str">
        <f t="shared" si="22"/>
        <v/>
      </c>
      <c r="H229" s="11" t="str">
        <f t="shared" si="24"/>
        <v/>
      </c>
      <c r="K229"/>
      <c r="L229" s="21" t="str">
        <f t="shared" si="25"/>
        <v/>
      </c>
      <c r="U229" s="3" t="str">
        <f t="shared" si="26"/>
        <v/>
      </c>
      <c r="V229" s="4" t="str">
        <f t="shared" si="27"/>
        <v/>
      </c>
      <c r="W229" s="4" t="str">
        <f t="shared" si="28"/>
        <v/>
      </c>
      <c r="X229" t="str">
        <f t="shared" si="23"/>
        <v/>
      </c>
    </row>
    <row r="230" spans="3:24">
      <c r="C230" s="12"/>
      <c r="D230" s="1"/>
      <c r="E230" s="1"/>
      <c r="F230" s="1"/>
      <c r="G230" s="11" t="str">
        <f t="shared" si="22"/>
        <v/>
      </c>
      <c r="H230" s="11" t="str">
        <f t="shared" si="24"/>
        <v/>
      </c>
      <c r="K230"/>
      <c r="L230" s="21" t="str">
        <f t="shared" si="25"/>
        <v/>
      </c>
      <c r="U230" s="3" t="str">
        <f t="shared" si="26"/>
        <v/>
      </c>
      <c r="V230" s="4" t="str">
        <f t="shared" si="27"/>
        <v/>
      </c>
      <c r="W230" s="4" t="str">
        <f t="shared" si="28"/>
        <v/>
      </c>
      <c r="X230" t="str">
        <f t="shared" si="23"/>
        <v/>
      </c>
    </row>
    <row r="231" spans="3:24">
      <c r="C231" s="12"/>
      <c r="D231" s="1"/>
      <c r="E231" s="1"/>
      <c r="F231" s="1"/>
      <c r="G231" s="11" t="str">
        <f t="shared" si="22"/>
        <v/>
      </c>
      <c r="H231" s="11" t="str">
        <f t="shared" si="24"/>
        <v/>
      </c>
      <c r="K231"/>
      <c r="L231" s="21" t="str">
        <f t="shared" si="25"/>
        <v/>
      </c>
      <c r="U231" s="3" t="str">
        <f t="shared" si="26"/>
        <v/>
      </c>
      <c r="V231" s="4" t="str">
        <f t="shared" si="27"/>
        <v/>
      </c>
      <c r="W231" s="4" t="str">
        <f t="shared" si="28"/>
        <v/>
      </c>
      <c r="X231" t="str">
        <f t="shared" si="23"/>
        <v/>
      </c>
    </row>
    <row r="232" spans="3:24">
      <c r="C232" s="12"/>
      <c r="D232" s="1"/>
      <c r="E232" s="1"/>
      <c r="F232" s="1"/>
      <c r="G232" s="11" t="str">
        <f t="shared" si="22"/>
        <v/>
      </c>
      <c r="H232" s="11" t="str">
        <f t="shared" si="24"/>
        <v/>
      </c>
      <c r="K232"/>
      <c r="L232" s="21" t="str">
        <f t="shared" si="25"/>
        <v/>
      </c>
      <c r="U232" s="3" t="str">
        <f t="shared" si="26"/>
        <v/>
      </c>
      <c r="V232" s="4" t="str">
        <f t="shared" si="27"/>
        <v/>
      </c>
      <c r="W232" s="4" t="str">
        <f t="shared" si="28"/>
        <v/>
      </c>
      <c r="X232" t="str">
        <f t="shared" si="23"/>
        <v/>
      </c>
    </row>
    <row r="233" spans="3:24">
      <c r="C233" s="12"/>
      <c r="D233" s="1"/>
      <c r="E233" s="1"/>
      <c r="F233" s="1"/>
      <c r="G233" s="11" t="str">
        <f t="shared" si="22"/>
        <v/>
      </c>
      <c r="H233" s="11" t="str">
        <f t="shared" si="24"/>
        <v/>
      </c>
      <c r="K233"/>
      <c r="L233" s="21" t="str">
        <f t="shared" si="25"/>
        <v/>
      </c>
      <c r="U233" s="3" t="str">
        <f t="shared" si="26"/>
        <v/>
      </c>
      <c r="V233" s="4" t="str">
        <f t="shared" si="27"/>
        <v/>
      </c>
      <c r="W233" s="4" t="str">
        <f t="shared" si="28"/>
        <v/>
      </c>
      <c r="X233" t="str">
        <f t="shared" si="23"/>
        <v/>
      </c>
    </row>
    <row r="234" spans="3:24">
      <c r="C234" s="12"/>
      <c r="D234" s="1"/>
      <c r="E234" s="1"/>
      <c r="F234" s="1"/>
      <c r="G234" s="11" t="str">
        <f t="shared" si="22"/>
        <v/>
      </c>
      <c r="H234" s="11" t="str">
        <f t="shared" si="24"/>
        <v/>
      </c>
      <c r="K234"/>
      <c r="L234" s="21" t="str">
        <f t="shared" si="25"/>
        <v/>
      </c>
      <c r="U234" s="3" t="str">
        <f t="shared" si="26"/>
        <v/>
      </c>
      <c r="V234" s="4" t="str">
        <f t="shared" si="27"/>
        <v/>
      </c>
      <c r="W234" s="4" t="str">
        <f t="shared" si="28"/>
        <v/>
      </c>
      <c r="X234" t="str">
        <f t="shared" si="23"/>
        <v/>
      </c>
    </row>
    <row r="235" spans="3:24">
      <c r="C235" s="12"/>
      <c r="D235" s="1"/>
      <c r="E235" s="1"/>
      <c r="F235" s="1"/>
      <c r="G235" s="11" t="str">
        <f t="shared" si="22"/>
        <v/>
      </c>
      <c r="H235" s="11" t="str">
        <f t="shared" si="24"/>
        <v/>
      </c>
      <c r="K235"/>
      <c r="L235" s="21" t="str">
        <f t="shared" si="25"/>
        <v/>
      </c>
      <c r="U235" s="3" t="str">
        <f t="shared" si="26"/>
        <v/>
      </c>
      <c r="V235" s="4" t="str">
        <f t="shared" si="27"/>
        <v/>
      </c>
      <c r="W235" s="4" t="str">
        <f t="shared" si="28"/>
        <v/>
      </c>
      <c r="X235" t="str">
        <f t="shared" si="23"/>
        <v/>
      </c>
    </row>
    <row r="236" spans="3:24">
      <c r="C236" s="12"/>
      <c r="D236" s="1"/>
      <c r="E236" s="1"/>
      <c r="F236" s="1"/>
      <c r="G236" s="11" t="str">
        <f t="shared" si="22"/>
        <v/>
      </c>
      <c r="H236" s="11" t="str">
        <f t="shared" si="24"/>
        <v/>
      </c>
      <c r="K236"/>
      <c r="L236" s="21" t="str">
        <f t="shared" si="25"/>
        <v/>
      </c>
      <c r="U236" s="3" t="str">
        <f t="shared" si="26"/>
        <v/>
      </c>
      <c r="V236" s="4" t="str">
        <f t="shared" si="27"/>
        <v/>
      </c>
      <c r="W236" s="4" t="str">
        <f t="shared" si="28"/>
        <v/>
      </c>
      <c r="X236" t="str">
        <f t="shared" si="23"/>
        <v/>
      </c>
    </row>
    <row r="237" spans="3:24">
      <c r="C237" s="12"/>
      <c r="D237" s="1"/>
      <c r="E237" s="1"/>
      <c r="F237" s="1"/>
      <c r="G237" s="11" t="str">
        <f t="shared" si="22"/>
        <v/>
      </c>
      <c r="H237" s="11" t="str">
        <f t="shared" si="24"/>
        <v/>
      </c>
      <c r="K237"/>
      <c r="L237" s="21" t="str">
        <f t="shared" si="25"/>
        <v/>
      </c>
      <c r="U237" s="3" t="str">
        <f t="shared" si="26"/>
        <v/>
      </c>
      <c r="V237" s="4" t="str">
        <f t="shared" si="27"/>
        <v/>
      </c>
      <c r="W237" s="4" t="str">
        <f t="shared" si="28"/>
        <v/>
      </c>
      <c r="X237" t="str">
        <f t="shared" si="23"/>
        <v/>
      </c>
    </row>
    <row r="238" spans="3:24">
      <c r="C238" s="12"/>
      <c r="D238" s="1"/>
      <c r="E238" s="1"/>
      <c r="F238" s="1"/>
      <c r="G238" s="11" t="str">
        <f t="shared" si="22"/>
        <v/>
      </c>
      <c r="H238" s="11" t="str">
        <f t="shared" si="24"/>
        <v/>
      </c>
      <c r="K238"/>
      <c r="L238" s="21" t="str">
        <f t="shared" si="25"/>
        <v/>
      </c>
      <c r="U238" s="3" t="str">
        <f t="shared" si="26"/>
        <v/>
      </c>
      <c r="V238" s="4" t="str">
        <f t="shared" si="27"/>
        <v/>
      </c>
      <c r="W238" s="4" t="str">
        <f t="shared" si="28"/>
        <v/>
      </c>
      <c r="X238" t="str">
        <f t="shared" si="23"/>
        <v/>
      </c>
    </row>
    <row r="239" spans="3:24">
      <c r="C239" s="12"/>
      <c r="D239" s="1"/>
      <c r="E239" s="1"/>
      <c r="F239" s="1"/>
      <c r="G239" s="11" t="str">
        <f t="shared" si="22"/>
        <v/>
      </c>
      <c r="H239" s="11" t="str">
        <f t="shared" si="24"/>
        <v/>
      </c>
      <c r="K239"/>
      <c r="L239" s="21" t="str">
        <f t="shared" si="25"/>
        <v/>
      </c>
      <c r="U239" s="3" t="str">
        <f t="shared" si="26"/>
        <v/>
      </c>
      <c r="V239" s="4" t="str">
        <f t="shared" si="27"/>
        <v/>
      </c>
      <c r="W239" s="4" t="str">
        <f t="shared" si="28"/>
        <v/>
      </c>
      <c r="X239" t="str">
        <f t="shared" si="23"/>
        <v/>
      </c>
    </row>
    <row r="240" spans="3:24">
      <c r="C240" s="12"/>
      <c r="D240" s="1"/>
      <c r="E240" s="1"/>
      <c r="F240" s="1"/>
      <c r="G240" s="11" t="str">
        <f t="shared" si="22"/>
        <v/>
      </c>
      <c r="H240" s="11" t="str">
        <f t="shared" si="24"/>
        <v/>
      </c>
      <c r="K240"/>
      <c r="L240" s="21" t="str">
        <f t="shared" si="25"/>
        <v/>
      </c>
      <c r="U240" s="3" t="str">
        <f t="shared" si="26"/>
        <v/>
      </c>
      <c r="V240" s="4" t="str">
        <f t="shared" si="27"/>
        <v/>
      </c>
      <c r="W240" s="4" t="str">
        <f t="shared" si="28"/>
        <v/>
      </c>
      <c r="X240" t="str">
        <f t="shared" si="23"/>
        <v/>
      </c>
    </row>
    <row r="241" spans="3:24">
      <c r="C241" s="12"/>
      <c r="D241" s="1"/>
      <c r="E241" s="1"/>
      <c r="F241" s="1"/>
      <c r="G241" s="11" t="str">
        <f t="shared" si="22"/>
        <v/>
      </c>
      <c r="H241" s="11" t="str">
        <f t="shared" si="24"/>
        <v/>
      </c>
      <c r="K241"/>
      <c r="L241" s="21" t="str">
        <f t="shared" si="25"/>
        <v/>
      </c>
      <c r="U241" s="3" t="str">
        <f t="shared" si="26"/>
        <v/>
      </c>
      <c r="V241" s="4" t="str">
        <f t="shared" si="27"/>
        <v/>
      </c>
      <c r="W241" s="4" t="str">
        <f t="shared" si="28"/>
        <v/>
      </c>
      <c r="X241" t="str">
        <f t="shared" si="23"/>
        <v/>
      </c>
    </row>
    <row r="242" spans="3:24">
      <c r="C242" s="12"/>
      <c r="D242" s="1"/>
      <c r="E242" s="1"/>
      <c r="F242" s="1"/>
      <c r="G242" s="11" t="str">
        <f t="shared" si="22"/>
        <v/>
      </c>
      <c r="H242" s="11" t="str">
        <f t="shared" si="24"/>
        <v/>
      </c>
      <c r="K242"/>
      <c r="L242" s="21" t="str">
        <f t="shared" si="25"/>
        <v/>
      </c>
      <c r="U242" s="3" t="str">
        <f t="shared" si="26"/>
        <v/>
      </c>
      <c r="V242" s="4" t="str">
        <f t="shared" si="27"/>
        <v/>
      </c>
      <c r="W242" s="4" t="str">
        <f t="shared" si="28"/>
        <v/>
      </c>
      <c r="X242" t="str">
        <f t="shared" si="23"/>
        <v/>
      </c>
    </row>
    <row r="243" spans="3:24">
      <c r="C243" s="12"/>
      <c r="D243" s="1"/>
      <c r="E243" s="1"/>
      <c r="F243" s="1"/>
      <c r="G243" s="11" t="str">
        <f t="shared" si="22"/>
        <v/>
      </c>
      <c r="H243" s="11" t="str">
        <f t="shared" si="24"/>
        <v/>
      </c>
      <c r="K243"/>
      <c r="L243" s="21" t="str">
        <f t="shared" si="25"/>
        <v/>
      </c>
      <c r="U243" s="3" t="str">
        <f t="shared" si="26"/>
        <v/>
      </c>
      <c r="V243" s="4" t="str">
        <f t="shared" si="27"/>
        <v/>
      </c>
      <c r="W243" s="4" t="str">
        <f t="shared" si="28"/>
        <v/>
      </c>
      <c r="X243" t="str">
        <f t="shared" si="23"/>
        <v/>
      </c>
    </row>
    <row r="244" spans="3:24">
      <c r="C244" s="12"/>
      <c r="D244" s="1"/>
      <c r="E244" s="1"/>
      <c r="F244" s="1"/>
      <c r="G244" s="11" t="str">
        <f t="shared" si="22"/>
        <v/>
      </c>
      <c r="H244" s="11" t="str">
        <f t="shared" si="24"/>
        <v/>
      </c>
      <c r="K244"/>
      <c r="L244" s="21" t="str">
        <f t="shared" si="25"/>
        <v/>
      </c>
      <c r="U244" s="3" t="str">
        <f t="shared" si="26"/>
        <v/>
      </c>
      <c r="V244" s="4" t="str">
        <f t="shared" si="27"/>
        <v/>
      </c>
      <c r="W244" s="4" t="str">
        <f t="shared" si="28"/>
        <v/>
      </c>
      <c r="X244" t="str">
        <f t="shared" si="23"/>
        <v/>
      </c>
    </row>
    <row r="245" spans="3:24">
      <c r="C245" s="12"/>
      <c r="D245" s="1"/>
      <c r="E245" s="1"/>
      <c r="F245" s="1"/>
      <c r="G245" s="11" t="str">
        <f t="shared" si="22"/>
        <v/>
      </c>
      <c r="H245" s="11" t="str">
        <f t="shared" si="24"/>
        <v/>
      </c>
      <c r="K245"/>
      <c r="L245" s="21" t="str">
        <f t="shared" si="25"/>
        <v/>
      </c>
      <c r="U245" s="3" t="str">
        <f t="shared" si="26"/>
        <v/>
      </c>
      <c r="V245" s="4" t="str">
        <f t="shared" si="27"/>
        <v/>
      </c>
      <c r="W245" s="4" t="str">
        <f t="shared" si="28"/>
        <v/>
      </c>
      <c r="X245" t="str">
        <f t="shared" si="23"/>
        <v/>
      </c>
    </row>
    <row r="246" spans="3:24">
      <c r="C246" s="12"/>
      <c r="D246" s="1"/>
      <c r="E246" s="1"/>
      <c r="F246" s="1"/>
      <c r="G246" s="11" t="str">
        <f t="shared" si="22"/>
        <v/>
      </c>
      <c r="H246" s="11" t="str">
        <f t="shared" si="24"/>
        <v/>
      </c>
      <c r="K246"/>
      <c r="L246" s="21" t="str">
        <f t="shared" si="25"/>
        <v/>
      </c>
      <c r="U246" s="3" t="str">
        <f t="shared" si="26"/>
        <v/>
      </c>
      <c r="V246" s="4" t="str">
        <f t="shared" si="27"/>
        <v/>
      </c>
      <c r="W246" s="4" t="str">
        <f t="shared" si="28"/>
        <v/>
      </c>
      <c r="X246" t="str">
        <f t="shared" si="23"/>
        <v/>
      </c>
    </row>
    <row r="247" spans="3:24">
      <c r="C247" s="12"/>
      <c r="D247" s="1"/>
      <c r="E247" s="1"/>
      <c r="F247" s="1"/>
      <c r="G247" s="11" t="str">
        <f t="shared" si="22"/>
        <v/>
      </c>
      <c r="H247" s="11" t="str">
        <f t="shared" si="24"/>
        <v/>
      </c>
      <c r="K247"/>
      <c r="L247" s="21" t="str">
        <f t="shared" si="25"/>
        <v/>
      </c>
      <c r="U247" s="3" t="str">
        <f t="shared" si="26"/>
        <v/>
      </c>
      <c r="V247" s="4" t="str">
        <f t="shared" si="27"/>
        <v/>
      </c>
      <c r="W247" s="4" t="str">
        <f t="shared" si="28"/>
        <v/>
      </c>
      <c r="X247" t="str">
        <f t="shared" si="23"/>
        <v/>
      </c>
    </row>
    <row r="248" spans="3:24">
      <c r="C248" s="12"/>
      <c r="D248" s="1"/>
      <c r="E248" s="1"/>
      <c r="F248" s="1"/>
      <c r="G248" s="11" t="str">
        <f t="shared" si="22"/>
        <v/>
      </c>
      <c r="H248" s="11" t="str">
        <f t="shared" si="24"/>
        <v/>
      </c>
      <c r="K248"/>
      <c r="L248" s="21" t="str">
        <f t="shared" si="25"/>
        <v/>
      </c>
      <c r="U248" s="3" t="str">
        <f t="shared" si="26"/>
        <v/>
      </c>
      <c r="V248" s="4" t="str">
        <f t="shared" si="27"/>
        <v/>
      </c>
      <c r="W248" s="4" t="str">
        <f t="shared" si="28"/>
        <v/>
      </c>
      <c r="X248" t="str">
        <f t="shared" si="23"/>
        <v/>
      </c>
    </row>
    <row r="249" spans="3:24">
      <c r="C249" s="12"/>
      <c r="D249" s="1"/>
      <c r="E249" s="1"/>
      <c r="F249" s="1"/>
      <c r="G249" s="11" t="str">
        <f t="shared" si="22"/>
        <v/>
      </c>
      <c r="H249" s="11" t="str">
        <f t="shared" si="24"/>
        <v/>
      </c>
      <c r="K249"/>
      <c r="L249" s="21" t="str">
        <f t="shared" si="25"/>
        <v/>
      </c>
      <c r="U249" s="3" t="str">
        <f t="shared" si="26"/>
        <v/>
      </c>
      <c r="V249" s="4" t="str">
        <f t="shared" si="27"/>
        <v/>
      </c>
      <c r="W249" s="4" t="str">
        <f t="shared" si="28"/>
        <v/>
      </c>
      <c r="X249" t="str">
        <f t="shared" si="23"/>
        <v/>
      </c>
    </row>
    <row r="250" spans="3:24">
      <c r="C250" s="12"/>
      <c r="D250" s="1"/>
      <c r="E250" s="1"/>
      <c r="F250" s="1"/>
      <c r="G250" s="11" t="str">
        <f t="shared" si="22"/>
        <v/>
      </c>
      <c r="H250" s="11" t="str">
        <f t="shared" si="24"/>
        <v/>
      </c>
      <c r="K250"/>
      <c r="L250" s="21" t="str">
        <f t="shared" si="25"/>
        <v/>
      </c>
      <c r="U250" s="3" t="str">
        <f t="shared" si="26"/>
        <v/>
      </c>
      <c r="V250" s="4" t="str">
        <f t="shared" si="27"/>
        <v/>
      </c>
      <c r="W250" s="4" t="str">
        <f t="shared" si="28"/>
        <v/>
      </c>
      <c r="X250" t="str">
        <f t="shared" si="23"/>
        <v/>
      </c>
    </row>
    <row r="251" spans="3:24">
      <c r="C251" s="12"/>
      <c r="D251" s="1"/>
      <c r="E251" s="1"/>
      <c r="F251" s="1"/>
      <c r="G251" s="11" t="str">
        <f t="shared" si="22"/>
        <v/>
      </c>
      <c r="H251" s="11" t="str">
        <f t="shared" si="24"/>
        <v/>
      </c>
      <c r="K251"/>
      <c r="L251" s="21" t="str">
        <f t="shared" si="25"/>
        <v/>
      </c>
      <c r="U251" s="3" t="str">
        <f t="shared" si="26"/>
        <v/>
      </c>
      <c r="V251" s="4" t="str">
        <f t="shared" si="27"/>
        <v/>
      </c>
      <c r="W251" s="4" t="str">
        <f t="shared" si="28"/>
        <v/>
      </c>
      <c r="X251" t="str">
        <f t="shared" si="23"/>
        <v/>
      </c>
    </row>
    <row r="252" spans="3:24">
      <c r="C252" s="12"/>
      <c r="D252" s="1"/>
      <c r="E252" s="1"/>
      <c r="F252" s="1"/>
      <c r="G252" s="11" t="str">
        <f t="shared" si="22"/>
        <v/>
      </c>
      <c r="H252" s="11" t="str">
        <f t="shared" si="24"/>
        <v/>
      </c>
      <c r="K252"/>
      <c r="L252" s="21" t="str">
        <f t="shared" si="25"/>
        <v/>
      </c>
      <c r="U252" s="3" t="str">
        <f t="shared" si="26"/>
        <v/>
      </c>
      <c r="V252" s="4" t="str">
        <f t="shared" si="27"/>
        <v/>
      </c>
      <c r="W252" s="4" t="str">
        <f t="shared" si="28"/>
        <v/>
      </c>
      <c r="X252" t="str">
        <f t="shared" si="23"/>
        <v/>
      </c>
    </row>
    <row r="253" spans="3:24">
      <c r="C253" s="12"/>
      <c r="D253" s="1"/>
      <c r="E253" s="1"/>
      <c r="F253" s="1"/>
      <c r="G253" s="11" t="str">
        <f t="shared" si="22"/>
        <v/>
      </c>
      <c r="H253" s="11" t="str">
        <f t="shared" si="24"/>
        <v/>
      </c>
      <c r="K253"/>
      <c r="L253" s="21" t="str">
        <f t="shared" si="25"/>
        <v/>
      </c>
      <c r="U253" s="3" t="str">
        <f t="shared" si="26"/>
        <v/>
      </c>
      <c r="V253" s="4" t="str">
        <f t="shared" si="27"/>
        <v/>
      </c>
      <c r="W253" s="4" t="str">
        <f t="shared" si="28"/>
        <v/>
      </c>
      <c r="X253" t="str">
        <f t="shared" si="23"/>
        <v/>
      </c>
    </row>
    <row r="254" spans="3:24">
      <c r="C254" s="12"/>
      <c r="D254" s="1"/>
      <c r="E254" s="1"/>
      <c r="F254" s="1"/>
      <c r="G254" s="11" t="str">
        <f t="shared" si="22"/>
        <v/>
      </c>
      <c r="H254" s="11" t="str">
        <f t="shared" si="24"/>
        <v/>
      </c>
      <c r="K254"/>
      <c r="L254" s="21" t="str">
        <f t="shared" si="25"/>
        <v/>
      </c>
      <c r="U254" s="3" t="str">
        <f t="shared" si="26"/>
        <v/>
      </c>
      <c r="V254" s="4" t="str">
        <f t="shared" si="27"/>
        <v/>
      </c>
      <c r="W254" s="4" t="str">
        <f t="shared" si="28"/>
        <v/>
      </c>
      <c r="X254" t="str">
        <f t="shared" si="23"/>
        <v/>
      </c>
    </row>
    <row r="255" spans="3:24">
      <c r="C255" s="12"/>
      <c r="D255" s="1"/>
      <c r="E255" s="1"/>
      <c r="F255" s="1"/>
      <c r="G255" s="11" t="str">
        <f t="shared" si="22"/>
        <v/>
      </c>
      <c r="H255" s="11" t="str">
        <f t="shared" si="24"/>
        <v/>
      </c>
      <c r="K255"/>
      <c r="L255" s="21" t="str">
        <f t="shared" si="25"/>
        <v/>
      </c>
      <c r="U255" s="3" t="str">
        <f t="shared" si="26"/>
        <v/>
      </c>
      <c r="V255" s="4" t="str">
        <f t="shared" si="27"/>
        <v/>
      </c>
      <c r="W255" s="4" t="str">
        <f t="shared" si="28"/>
        <v/>
      </c>
      <c r="X255" t="str">
        <f t="shared" si="23"/>
        <v/>
      </c>
    </row>
    <row r="256" spans="3:24">
      <c r="C256" s="12"/>
      <c r="D256" s="1"/>
      <c r="E256" s="1"/>
      <c r="F256" s="1"/>
      <c r="G256" s="11" t="str">
        <f t="shared" si="22"/>
        <v/>
      </c>
      <c r="H256" s="11" t="str">
        <f t="shared" si="24"/>
        <v/>
      </c>
      <c r="K256"/>
      <c r="L256" s="21" t="str">
        <f t="shared" si="25"/>
        <v/>
      </c>
      <c r="U256" s="3" t="str">
        <f t="shared" si="26"/>
        <v/>
      </c>
      <c r="V256" s="4" t="str">
        <f t="shared" si="27"/>
        <v/>
      </c>
      <c r="W256" s="4" t="str">
        <f t="shared" si="28"/>
        <v/>
      </c>
      <c r="X256" t="str">
        <f t="shared" si="23"/>
        <v/>
      </c>
    </row>
    <row r="257" spans="3:24">
      <c r="C257" s="12"/>
      <c r="D257" s="1"/>
      <c r="E257" s="1"/>
      <c r="F257" s="1"/>
      <c r="G257" s="11" t="str">
        <f t="shared" si="22"/>
        <v/>
      </c>
      <c r="H257" s="11" t="str">
        <f t="shared" si="24"/>
        <v/>
      </c>
      <c r="K257"/>
      <c r="L257" s="21" t="str">
        <f t="shared" si="25"/>
        <v/>
      </c>
      <c r="U257" s="3" t="str">
        <f t="shared" si="26"/>
        <v/>
      </c>
      <c r="V257" s="4" t="str">
        <f t="shared" si="27"/>
        <v/>
      </c>
      <c r="W257" s="4" t="str">
        <f t="shared" si="28"/>
        <v/>
      </c>
      <c r="X257" t="str">
        <f t="shared" si="23"/>
        <v/>
      </c>
    </row>
    <row r="258" spans="3:24">
      <c r="C258" s="12"/>
      <c r="D258" s="1"/>
      <c r="E258" s="1"/>
      <c r="F258" s="1"/>
      <c r="G258" s="11" t="str">
        <f t="shared" ref="G258:G321" si="29">IF(X258="", "", TIMEVALUE("0:" &amp; X258))</f>
        <v/>
      </c>
      <c r="H258" s="11" t="str">
        <f t="shared" si="24"/>
        <v/>
      </c>
      <c r="K258"/>
      <c r="L258" s="21" t="str">
        <f t="shared" si="25"/>
        <v/>
      </c>
      <c r="U258" s="3" t="str">
        <f t="shared" si="26"/>
        <v/>
      </c>
      <c r="V258" s="4" t="str">
        <f t="shared" si="27"/>
        <v/>
      </c>
      <c r="W258" s="4" t="str">
        <f t="shared" si="28"/>
        <v/>
      </c>
      <c r="X258" t="str">
        <f t="shared" ref="X258:X321" si="30">IF(V258="", "", IF(MOD(W258,1)*60&gt;=59.5, TEXT(INT(W258)+1, "0") &amp; ":00", TEXT(INT(W258), "0") &amp; ":" &amp; TEXT(ROUND(MOD(W258,1)*60, 0), "00")))</f>
        <v/>
      </c>
    </row>
    <row r="259" spans="3:24">
      <c r="C259" s="12"/>
      <c r="D259" s="1"/>
      <c r="E259" s="1"/>
      <c r="F259" s="1"/>
      <c r="G259" s="11" t="str">
        <f t="shared" si="29"/>
        <v/>
      </c>
      <c r="H259" s="11" t="str">
        <f t="shared" ref="H259:H322" si="31">IF(X259="", "", TIMEVALUE("0:" &amp; X259))</f>
        <v/>
      </c>
      <c r="K259"/>
      <c r="L259" s="21" t="str">
        <f t="shared" ref="L259:L322" si="32">HYPERLINK("#'2024ds'!B" &amp; ROW(B259), "")</f>
        <v/>
      </c>
      <c r="U259" s="3" t="str">
        <f t="shared" ref="U259:U322" si="33">IF(C259="","",TIMEVALUE(C259))</f>
        <v/>
      </c>
      <c r="V259" s="4" t="str">
        <f t="shared" ref="V259:V322" si="34">IF(C259="","",HOUR(C259)*60 + MINUTE(C259) + SECOND(C259)/60)</f>
        <v/>
      </c>
      <c r="W259" s="4" t="str">
        <f t="shared" ref="W259:W322" si="35">IF(V259="","",V259/D259)</f>
        <v/>
      </c>
      <c r="X259" t="str">
        <f t="shared" si="30"/>
        <v/>
      </c>
    </row>
    <row r="260" spans="3:24">
      <c r="C260" s="12"/>
      <c r="D260" s="1"/>
      <c r="E260" s="1"/>
      <c r="F260" s="1"/>
      <c r="G260" s="11" t="str">
        <f t="shared" si="29"/>
        <v/>
      </c>
      <c r="H260" s="11" t="str">
        <f t="shared" si="31"/>
        <v/>
      </c>
      <c r="K260"/>
      <c r="L260" s="21" t="str">
        <f t="shared" si="32"/>
        <v/>
      </c>
      <c r="U260" s="3" t="str">
        <f t="shared" si="33"/>
        <v/>
      </c>
      <c r="V260" s="4" t="str">
        <f t="shared" si="34"/>
        <v/>
      </c>
      <c r="W260" s="4" t="str">
        <f t="shared" si="35"/>
        <v/>
      </c>
      <c r="X260" t="str">
        <f t="shared" si="30"/>
        <v/>
      </c>
    </row>
    <row r="261" spans="3:24">
      <c r="C261" s="12"/>
      <c r="D261" s="1"/>
      <c r="E261" s="1"/>
      <c r="F261" s="1"/>
      <c r="G261" s="11" t="str">
        <f t="shared" si="29"/>
        <v/>
      </c>
      <c r="H261" s="11" t="str">
        <f t="shared" si="31"/>
        <v/>
      </c>
      <c r="K261"/>
      <c r="L261" s="21" t="str">
        <f t="shared" si="32"/>
        <v/>
      </c>
      <c r="U261" s="3" t="str">
        <f t="shared" si="33"/>
        <v/>
      </c>
      <c r="V261" s="4" t="str">
        <f t="shared" si="34"/>
        <v/>
      </c>
      <c r="W261" s="4" t="str">
        <f t="shared" si="35"/>
        <v/>
      </c>
      <c r="X261" t="str">
        <f t="shared" si="30"/>
        <v/>
      </c>
    </row>
    <row r="262" spans="3:24">
      <c r="C262" s="12"/>
      <c r="D262" s="1"/>
      <c r="E262" s="1"/>
      <c r="F262" s="1"/>
      <c r="G262" s="11" t="str">
        <f t="shared" si="29"/>
        <v/>
      </c>
      <c r="H262" s="11" t="str">
        <f t="shared" si="31"/>
        <v/>
      </c>
      <c r="K262"/>
      <c r="L262" s="21" t="str">
        <f t="shared" si="32"/>
        <v/>
      </c>
      <c r="U262" s="3" t="str">
        <f t="shared" si="33"/>
        <v/>
      </c>
      <c r="V262" s="4" t="str">
        <f t="shared" si="34"/>
        <v/>
      </c>
      <c r="W262" s="4" t="str">
        <f t="shared" si="35"/>
        <v/>
      </c>
      <c r="X262" t="str">
        <f t="shared" si="30"/>
        <v/>
      </c>
    </row>
    <row r="263" spans="3:24">
      <c r="C263" s="12"/>
      <c r="D263" s="1"/>
      <c r="E263" s="1"/>
      <c r="F263" s="1"/>
      <c r="G263" s="11" t="str">
        <f t="shared" si="29"/>
        <v/>
      </c>
      <c r="H263" s="11" t="str">
        <f t="shared" si="31"/>
        <v/>
      </c>
      <c r="K263"/>
      <c r="L263" s="21" t="str">
        <f t="shared" si="32"/>
        <v/>
      </c>
      <c r="U263" s="3" t="str">
        <f t="shared" si="33"/>
        <v/>
      </c>
      <c r="V263" s="4" t="str">
        <f t="shared" si="34"/>
        <v/>
      </c>
      <c r="W263" s="4" t="str">
        <f t="shared" si="35"/>
        <v/>
      </c>
      <c r="X263" t="str">
        <f t="shared" si="30"/>
        <v/>
      </c>
    </row>
    <row r="264" spans="3:24">
      <c r="C264" s="12"/>
      <c r="D264" s="1"/>
      <c r="E264" s="1"/>
      <c r="F264" s="1"/>
      <c r="G264" s="11" t="str">
        <f t="shared" si="29"/>
        <v/>
      </c>
      <c r="H264" s="11" t="str">
        <f t="shared" si="31"/>
        <v/>
      </c>
      <c r="K264"/>
      <c r="L264" s="21" t="str">
        <f t="shared" si="32"/>
        <v/>
      </c>
      <c r="U264" s="3" t="str">
        <f t="shared" si="33"/>
        <v/>
      </c>
      <c r="V264" s="4" t="str">
        <f t="shared" si="34"/>
        <v/>
      </c>
      <c r="W264" s="4" t="str">
        <f t="shared" si="35"/>
        <v/>
      </c>
      <c r="X264" t="str">
        <f t="shared" si="30"/>
        <v/>
      </c>
    </row>
    <row r="265" spans="3:24">
      <c r="C265" s="12"/>
      <c r="D265" s="1"/>
      <c r="E265" s="1"/>
      <c r="F265" s="1"/>
      <c r="G265" s="11" t="str">
        <f t="shared" si="29"/>
        <v/>
      </c>
      <c r="H265" s="11" t="str">
        <f t="shared" si="31"/>
        <v/>
      </c>
      <c r="K265"/>
      <c r="L265" s="21" t="str">
        <f t="shared" si="32"/>
        <v/>
      </c>
      <c r="U265" s="3" t="str">
        <f t="shared" si="33"/>
        <v/>
      </c>
      <c r="V265" s="4" t="str">
        <f t="shared" si="34"/>
        <v/>
      </c>
      <c r="W265" s="4" t="str">
        <f t="shared" si="35"/>
        <v/>
      </c>
      <c r="X265" t="str">
        <f t="shared" si="30"/>
        <v/>
      </c>
    </row>
    <row r="266" spans="3:24">
      <c r="C266" s="12"/>
      <c r="D266" s="1"/>
      <c r="E266" s="1"/>
      <c r="F266" s="1"/>
      <c r="G266" s="11" t="str">
        <f t="shared" si="29"/>
        <v/>
      </c>
      <c r="H266" s="11" t="str">
        <f t="shared" si="31"/>
        <v/>
      </c>
      <c r="K266"/>
      <c r="L266" s="21" t="str">
        <f t="shared" si="32"/>
        <v/>
      </c>
      <c r="U266" s="3" t="str">
        <f t="shared" si="33"/>
        <v/>
      </c>
      <c r="V266" s="4" t="str">
        <f t="shared" si="34"/>
        <v/>
      </c>
      <c r="W266" s="4" t="str">
        <f t="shared" si="35"/>
        <v/>
      </c>
      <c r="X266" t="str">
        <f t="shared" si="30"/>
        <v/>
      </c>
    </row>
    <row r="267" spans="3:24">
      <c r="C267" s="12"/>
      <c r="D267" s="1"/>
      <c r="E267" s="1"/>
      <c r="F267" s="1"/>
      <c r="G267" s="11" t="str">
        <f t="shared" si="29"/>
        <v/>
      </c>
      <c r="H267" s="11" t="str">
        <f t="shared" si="31"/>
        <v/>
      </c>
      <c r="K267"/>
      <c r="L267" s="21" t="str">
        <f t="shared" si="32"/>
        <v/>
      </c>
      <c r="U267" s="3" t="str">
        <f t="shared" si="33"/>
        <v/>
      </c>
      <c r="V267" s="4" t="str">
        <f t="shared" si="34"/>
        <v/>
      </c>
      <c r="W267" s="4" t="str">
        <f t="shared" si="35"/>
        <v/>
      </c>
      <c r="X267" t="str">
        <f t="shared" si="30"/>
        <v/>
      </c>
    </row>
    <row r="268" spans="3:24">
      <c r="C268" s="12"/>
      <c r="D268" s="1"/>
      <c r="E268" s="1"/>
      <c r="F268" s="1"/>
      <c r="G268" s="11" t="str">
        <f t="shared" si="29"/>
        <v/>
      </c>
      <c r="H268" s="11" t="str">
        <f t="shared" si="31"/>
        <v/>
      </c>
      <c r="K268"/>
      <c r="L268" s="21" t="str">
        <f t="shared" si="32"/>
        <v/>
      </c>
      <c r="U268" s="3" t="str">
        <f t="shared" si="33"/>
        <v/>
      </c>
      <c r="V268" s="4" t="str">
        <f t="shared" si="34"/>
        <v/>
      </c>
      <c r="W268" s="4" t="str">
        <f t="shared" si="35"/>
        <v/>
      </c>
      <c r="X268" t="str">
        <f t="shared" si="30"/>
        <v/>
      </c>
    </row>
    <row r="269" spans="3:24">
      <c r="C269" s="12"/>
      <c r="D269" s="1"/>
      <c r="E269" s="1"/>
      <c r="F269" s="1"/>
      <c r="G269" s="11" t="str">
        <f t="shared" si="29"/>
        <v/>
      </c>
      <c r="H269" s="11" t="str">
        <f t="shared" si="31"/>
        <v/>
      </c>
      <c r="K269"/>
      <c r="L269" s="21" t="str">
        <f t="shared" si="32"/>
        <v/>
      </c>
      <c r="U269" s="3" t="str">
        <f t="shared" si="33"/>
        <v/>
      </c>
      <c r="V269" s="4" t="str">
        <f t="shared" si="34"/>
        <v/>
      </c>
      <c r="W269" s="4" t="str">
        <f t="shared" si="35"/>
        <v/>
      </c>
      <c r="X269" t="str">
        <f t="shared" si="30"/>
        <v/>
      </c>
    </row>
    <row r="270" spans="3:24">
      <c r="C270" s="12"/>
      <c r="D270" s="1"/>
      <c r="E270" s="1"/>
      <c r="F270" s="1"/>
      <c r="G270" s="11" t="str">
        <f t="shared" si="29"/>
        <v/>
      </c>
      <c r="H270" s="11" t="str">
        <f t="shared" si="31"/>
        <v/>
      </c>
      <c r="K270"/>
      <c r="L270" s="21" t="str">
        <f t="shared" si="32"/>
        <v/>
      </c>
      <c r="U270" s="3" t="str">
        <f t="shared" si="33"/>
        <v/>
      </c>
      <c r="V270" s="4" t="str">
        <f t="shared" si="34"/>
        <v/>
      </c>
      <c r="W270" s="4" t="str">
        <f t="shared" si="35"/>
        <v/>
      </c>
      <c r="X270" t="str">
        <f t="shared" si="30"/>
        <v/>
      </c>
    </row>
    <row r="271" spans="3:24">
      <c r="C271" s="12"/>
      <c r="D271" s="1"/>
      <c r="E271" s="1"/>
      <c r="F271" s="1"/>
      <c r="G271" s="11" t="str">
        <f t="shared" si="29"/>
        <v/>
      </c>
      <c r="H271" s="11" t="str">
        <f t="shared" si="31"/>
        <v/>
      </c>
      <c r="K271"/>
      <c r="L271" s="21" t="str">
        <f t="shared" si="32"/>
        <v/>
      </c>
      <c r="U271" s="3" t="str">
        <f t="shared" si="33"/>
        <v/>
      </c>
      <c r="V271" s="4" t="str">
        <f t="shared" si="34"/>
        <v/>
      </c>
      <c r="W271" s="4" t="str">
        <f t="shared" si="35"/>
        <v/>
      </c>
      <c r="X271" t="str">
        <f t="shared" si="30"/>
        <v/>
      </c>
    </row>
    <row r="272" spans="3:24">
      <c r="C272" s="12"/>
      <c r="D272" s="1"/>
      <c r="E272" s="1"/>
      <c r="F272" s="1"/>
      <c r="G272" s="11" t="str">
        <f t="shared" si="29"/>
        <v/>
      </c>
      <c r="H272" s="11" t="str">
        <f t="shared" si="31"/>
        <v/>
      </c>
      <c r="K272"/>
      <c r="L272" s="21" t="str">
        <f t="shared" si="32"/>
        <v/>
      </c>
      <c r="U272" s="3" t="str">
        <f t="shared" si="33"/>
        <v/>
      </c>
      <c r="V272" s="4" t="str">
        <f t="shared" si="34"/>
        <v/>
      </c>
      <c r="W272" s="4" t="str">
        <f t="shared" si="35"/>
        <v/>
      </c>
      <c r="X272" t="str">
        <f t="shared" si="30"/>
        <v/>
      </c>
    </row>
    <row r="273" spans="3:24">
      <c r="C273" s="12"/>
      <c r="D273" s="1"/>
      <c r="E273" s="1"/>
      <c r="F273" s="1"/>
      <c r="G273" s="11" t="str">
        <f t="shared" si="29"/>
        <v/>
      </c>
      <c r="H273" s="11" t="str">
        <f t="shared" si="31"/>
        <v/>
      </c>
      <c r="K273"/>
      <c r="L273" s="21" t="str">
        <f t="shared" si="32"/>
        <v/>
      </c>
      <c r="U273" s="3" t="str">
        <f t="shared" si="33"/>
        <v/>
      </c>
      <c r="V273" s="4" t="str">
        <f t="shared" si="34"/>
        <v/>
      </c>
      <c r="W273" s="4" t="str">
        <f t="shared" si="35"/>
        <v/>
      </c>
      <c r="X273" t="str">
        <f t="shared" si="30"/>
        <v/>
      </c>
    </row>
    <row r="274" spans="3:24">
      <c r="C274" s="12"/>
      <c r="D274" s="1"/>
      <c r="E274" s="1"/>
      <c r="F274" s="1"/>
      <c r="G274" s="11" t="str">
        <f t="shared" si="29"/>
        <v/>
      </c>
      <c r="H274" s="11" t="str">
        <f t="shared" si="31"/>
        <v/>
      </c>
      <c r="K274"/>
      <c r="L274" s="21" t="str">
        <f t="shared" si="32"/>
        <v/>
      </c>
      <c r="U274" s="3" t="str">
        <f t="shared" si="33"/>
        <v/>
      </c>
      <c r="V274" s="4" t="str">
        <f t="shared" si="34"/>
        <v/>
      </c>
      <c r="W274" s="4" t="str">
        <f t="shared" si="35"/>
        <v/>
      </c>
      <c r="X274" t="str">
        <f t="shared" si="30"/>
        <v/>
      </c>
    </row>
    <row r="275" spans="3:24">
      <c r="C275" s="12"/>
      <c r="D275" s="1"/>
      <c r="E275" s="1"/>
      <c r="F275" s="1"/>
      <c r="G275" s="11" t="str">
        <f t="shared" si="29"/>
        <v/>
      </c>
      <c r="H275" s="11" t="str">
        <f t="shared" si="31"/>
        <v/>
      </c>
      <c r="K275"/>
      <c r="L275" s="21" t="str">
        <f t="shared" si="32"/>
        <v/>
      </c>
      <c r="U275" s="3" t="str">
        <f t="shared" si="33"/>
        <v/>
      </c>
      <c r="V275" s="4" t="str">
        <f t="shared" si="34"/>
        <v/>
      </c>
      <c r="W275" s="4" t="str">
        <f t="shared" si="35"/>
        <v/>
      </c>
      <c r="X275" t="str">
        <f t="shared" si="30"/>
        <v/>
      </c>
    </row>
    <row r="276" spans="3:24">
      <c r="C276" s="12"/>
      <c r="D276" s="1"/>
      <c r="E276" s="1"/>
      <c r="F276" s="1"/>
      <c r="G276" s="11" t="str">
        <f t="shared" si="29"/>
        <v/>
      </c>
      <c r="H276" s="11" t="str">
        <f t="shared" si="31"/>
        <v/>
      </c>
      <c r="K276"/>
      <c r="L276" s="21" t="str">
        <f t="shared" si="32"/>
        <v/>
      </c>
      <c r="U276" s="3" t="str">
        <f t="shared" si="33"/>
        <v/>
      </c>
      <c r="V276" s="4" t="str">
        <f t="shared" si="34"/>
        <v/>
      </c>
      <c r="W276" s="4" t="str">
        <f t="shared" si="35"/>
        <v/>
      </c>
      <c r="X276" t="str">
        <f t="shared" si="30"/>
        <v/>
      </c>
    </row>
    <row r="277" spans="3:24">
      <c r="C277" s="12"/>
      <c r="D277" s="1"/>
      <c r="E277" s="1"/>
      <c r="F277" s="1"/>
      <c r="G277" s="11" t="str">
        <f t="shared" si="29"/>
        <v/>
      </c>
      <c r="H277" s="11" t="str">
        <f t="shared" si="31"/>
        <v/>
      </c>
      <c r="K277"/>
      <c r="L277" s="21" t="str">
        <f t="shared" si="32"/>
        <v/>
      </c>
      <c r="U277" s="3" t="str">
        <f t="shared" si="33"/>
        <v/>
      </c>
      <c r="V277" s="4" t="str">
        <f t="shared" si="34"/>
        <v/>
      </c>
      <c r="W277" s="4" t="str">
        <f t="shared" si="35"/>
        <v/>
      </c>
      <c r="X277" t="str">
        <f t="shared" si="30"/>
        <v/>
      </c>
    </row>
    <row r="278" spans="3:24">
      <c r="C278" s="12"/>
      <c r="D278" s="1"/>
      <c r="E278" s="1"/>
      <c r="F278" s="1"/>
      <c r="G278" s="11" t="str">
        <f t="shared" si="29"/>
        <v/>
      </c>
      <c r="H278" s="11" t="str">
        <f t="shared" si="31"/>
        <v/>
      </c>
      <c r="K278"/>
      <c r="L278" s="21" t="str">
        <f t="shared" si="32"/>
        <v/>
      </c>
      <c r="U278" s="3" t="str">
        <f t="shared" si="33"/>
        <v/>
      </c>
      <c r="V278" s="4" t="str">
        <f t="shared" si="34"/>
        <v/>
      </c>
      <c r="W278" s="4" t="str">
        <f t="shared" si="35"/>
        <v/>
      </c>
      <c r="X278" t="str">
        <f t="shared" si="30"/>
        <v/>
      </c>
    </row>
    <row r="279" spans="3:24">
      <c r="C279" s="12"/>
      <c r="D279" s="1"/>
      <c r="E279" s="1"/>
      <c r="F279" s="1"/>
      <c r="G279" s="11" t="str">
        <f t="shared" si="29"/>
        <v/>
      </c>
      <c r="H279" s="11" t="str">
        <f t="shared" si="31"/>
        <v/>
      </c>
      <c r="K279"/>
      <c r="L279" s="21" t="str">
        <f t="shared" si="32"/>
        <v/>
      </c>
      <c r="U279" s="3" t="str">
        <f t="shared" si="33"/>
        <v/>
      </c>
      <c r="V279" s="4" t="str">
        <f t="shared" si="34"/>
        <v/>
      </c>
      <c r="W279" s="4" t="str">
        <f t="shared" si="35"/>
        <v/>
      </c>
      <c r="X279" t="str">
        <f t="shared" si="30"/>
        <v/>
      </c>
    </row>
    <row r="280" spans="3:24">
      <c r="C280" s="12"/>
      <c r="D280" s="1"/>
      <c r="E280" s="1"/>
      <c r="F280" s="1"/>
      <c r="G280" s="11" t="str">
        <f t="shared" si="29"/>
        <v/>
      </c>
      <c r="H280" s="11" t="str">
        <f t="shared" si="31"/>
        <v/>
      </c>
      <c r="K280"/>
      <c r="L280" s="21" t="str">
        <f t="shared" si="32"/>
        <v/>
      </c>
      <c r="U280" s="3" t="str">
        <f t="shared" si="33"/>
        <v/>
      </c>
      <c r="V280" s="4" t="str">
        <f t="shared" si="34"/>
        <v/>
      </c>
      <c r="W280" s="4" t="str">
        <f t="shared" si="35"/>
        <v/>
      </c>
      <c r="X280" t="str">
        <f t="shared" si="30"/>
        <v/>
      </c>
    </row>
    <row r="281" spans="3:24">
      <c r="C281" s="12"/>
      <c r="D281" s="1"/>
      <c r="E281" s="1"/>
      <c r="F281" s="1"/>
      <c r="G281" s="11" t="str">
        <f t="shared" si="29"/>
        <v/>
      </c>
      <c r="H281" s="11" t="str">
        <f t="shared" si="31"/>
        <v/>
      </c>
      <c r="K281"/>
      <c r="L281" s="21" t="str">
        <f t="shared" si="32"/>
        <v/>
      </c>
      <c r="U281" s="3" t="str">
        <f t="shared" si="33"/>
        <v/>
      </c>
      <c r="V281" s="4" t="str">
        <f t="shared" si="34"/>
        <v/>
      </c>
      <c r="W281" s="4" t="str">
        <f t="shared" si="35"/>
        <v/>
      </c>
      <c r="X281" t="str">
        <f t="shared" si="30"/>
        <v/>
      </c>
    </row>
    <row r="282" spans="3:24">
      <c r="C282" s="12"/>
      <c r="D282" s="1"/>
      <c r="E282" s="1"/>
      <c r="F282" s="1"/>
      <c r="G282" s="11" t="str">
        <f t="shared" si="29"/>
        <v/>
      </c>
      <c r="H282" s="11" t="str">
        <f t="shared" si="31"/>
        <v/>
      </c>
      <c r="K282"/>
      <c r="L282" s="21" t="str">
        <f t="shared" si="32"/>
        <v/>
      </c>
      <c r="U282" s="3" t="str">
        <f t="shared" si="33"/>
        <v/>
      </c>
      <c r="V282" s="4" t="str">
        <f t="shared" si="34"/>
        <v/>
      </c>
      <c r="W282" s="4" t="str">
        <f t="shared" si="35"/>
        <v/>
      </c>
      <c r="X282" t="str">
        <f t="shared" si="30"/>
        <v/>
      </c>
    </row>
    <row r="283" spans="3:24">
      <c r="C283" s="12"/>
      <c r="D283" s="1"/>
      <c r="E283" s="1"/>
      <c r="F283" s="1"/>
      <c r="G283" s="11" t="str">
        <f t="shared" si="29"/>
        <v/>
      </c>
      <c r="H283" s="11" t="str">
        <f t="shared" si="31"/>
        <v/>
      </c>
      <c r="K283"/>
      <c r="L283" s="21" t="str">
        <f t="shared" si="32"/>
        <v/>
      </c>
      <c r="U283" s="3" t="str">
        <f t="shared" si="33"/>
        <v/>
      </c>
      <c r="V283" s="4" t="str">
        <f t="shared" si="34"/>
        <v/>
      </c>
      <c r="W283" s="4" t="str">
        <f t="shared" si="35"/>
        <v/>
      </c>
      <c r="X283" t="str">
        <f t="shared" si="30"/>
        <v/>
      </c>
    </row>
    <row r="284" spans="3:24">
      <c r="C284" s="12"/>
      <c r="D284" s="1"/>
      <c r="E284" s="1"/>
      <c r="F284" s="1"/>
      <c r="G284" s="11" t="str">
        <f t="shared" si="29"/>
        <v/>
      </c>
      <c r="H284" s="11" t="str">
        <f t="shared" si="31"/>
        <v/>
      </c>
      <c r="K284"/>
      <c r="L284" s="21" t="str">
        <f t="shared" si="32"/>
        <v/>
      </c>
      <c r="U284" s="3" t="str">
        <f t="shared" si="33"/>
        <v/>
      </c>
      <c r="V284" s="4" t="str">
        <f t="shared" si="34"/>
        <v/>
      </c>
      <c r="W284" s="4" t="str">
        <f t="shared" si="35"/>
        <v/>
      </c>
      <c r="X284" t="str">
        <f t="shared" si="30"/>
        <v/>
      </c>
    </row>
    <row r="285" spans="3:24">
      <c r="C285" s="12"/>
      <c r="D285" s="1"/>
      <c r="E285" s="1"/>
      <c r="F285" s="1"/>
      <c r="G285" s="11" t="str">
        <f t="shared" si="29"/>
        <v/>
      </c>
      <c r="H285" s="11" t="str">
        <f t="shared" si="31"/>
        <v/>
      </c>
      <c r="K285"/>
      <c r="L285" s="21" t="str">
        <f t="shared" si="32"/>
        <v/>
      </c>
      <c r="U285" s="3" t="str">
        <f t="shared" si="33"/>
        <v/>
      </c>
      <c r="V285" s="4" t="str">
        <f t="shared" si="34"/>
        <v/>
      </c>
      <c r="W285" s="4" t="str">
        <f t="shared" si="35"/>
        <v/>
      </c>
      <c r="X285" t="str">
        <f t="shared" si="30"/>
        <v/>
      </c>
    </row>
    <row r="286" spans="3:24">
      <c r="C286" s="12"/>
      <c r="D286" s="1"/>
      <c r="E286" s="1"/>
      <c r="F286" s="1"/>
      <c r="G286" s="11" t="str">
        <f t="shared" si="29"/>
        <v/>
      </c>
      <c r="H286" s="11" t="str">
        <f t="shared" si="31"/>
        <v/>
      </c>
      <c r="K286"/>
      <c r="L286" s="21" t="str">
        <f t="shared" si="32"/>
        <v/>
      </c>
      <c r="U286" s="3" t="str">
        <f t="shared" si="33"/>
        <v/>
      </c>
      <c r="V286" s="4" t="str">
        <f t="shared" si="34"/>
        <v/>
      </c>
      <c r="W286" s="4" t="str">
        <f t="shared" si="35"/>
        <v/>
      </c>
      <c r="X286" t="str">
        <f t="shared" si="30"/>
        <v/>
      </c>
    </row>
    <row r="287" spans="3:24">
      <c r="C287" s="12"/>
      <c r="D287" s="1"/>
      <c r="E287" s="1"/>
      <c r="F287" s="1"/>
      <c r="G287" s="11" t="str">
        <f t="shared" si="29"/>
        <v/>
      </c>
      <c r="H287" s="11" t="str">
        <f t="shared" si="31"/>
        <v/>
      </c>
      <c r="K287"/>
      <c r="L287" s="21" t="str">
        <f t="shared" si="32"/>
        <v/>
      </c>
      <c r="U287" s="3" t="str">
        <f t="shared" si="33"/>
        <v/>
      </c>
      <c r="V287" s="4" t="str">
        <f t="shared" si="34"/>
        <v/>
      </c>
      <c r="W287" s="4" t="str">
        <f t="shared" si="35"/>
        <v/>
      </c>
      <c r="X287" t="str">
        <f t="shared" si="30"/>
        <v/>
      </c>
    </row>
    <row r="288" spans="3:24">
      <c r="C288" s="12"/>
      <c r="D288" s="1"/>
      <c r="E288" s="1"/>
      <c r="F288" s="1"/>
      <c r="G288" s="11" t="str">
        <f t="shared" si="29"/>
        <v/>
      </c>
      <c r="H288" s="11" t="str">
        <f t="shared" si="31"/>
        <v/>
      </c>
      <c r="K288"/>
      <c r="L288" s="21" t="str">
        <f t="shared" si="32"/>
        <v/>
      </c>
      <c r="U288" s="3" t="str">
        <f t="shared" si="33"/>
        <v/>
      </c>
      <c r="V288" s="4" t="str">
        <f t="shared" si="34"/>
        <v/>
      </c>
      <c r="W288" s="4" t="str">
        <f t="shared" si="35"/>
        <v/>
      </c>
      <c r="X288" t="str">
        <f t="shared" si="30"/>
        <v/>
      </c>
    </row>
    <row r="289" spans="3:24">
      <c r="C289" s="12"/>
      <c r="D289" s="1"/>
      <c r="E289" s="1"/>
      <c r="F289" s="1"/>
      <c r="G289" s="11" t="str">
        <f t="shared" si="29"/>
        <v/>
      </c>
      <c r="H289" s="11" t="str">
        <f t="shared" si="31"/>
        <v/>
      </c>
      <c r="K289"/>
      <c r="L289" s="21" t="str">
        <f t="shared" si="32"/>
        <v/>
      </c>
      <c r="U289" s="3" t="str">
        <f t="shared" si="33"/>
        <v/>
      </c>
      <c r="V289" s="4" t="str">
        <f t="shared" si="34"/>
        <v/>
      </c>
      <c r="W289" s="4" t="str">
        <f t="shared" si="35"/>
        <v/>
      </c>
      <c r="X289" t="str">
        <f t="shared" si="30"/>
        <v/>
      </c>
    </row>
    <row r="290" spans="3:24">
      <c r="C290" s="12"/>
      <c r="D290" s="1"/>
      <c r="E290" s="1"/>
      <c r="F290" s="1"/>
      <c r="G290" s="11" t="str">
        <f t="shared" si="29"/>
        <v/>
      </c>
      <c r="H290" s="11" t="str">
        <f t="shared" si="31"/>
        <v/>
      </c>
      <c r="K290"/>
      <c r="L290" s="21" t="str">
        <f t="shared" si="32"/>
        <v/>
      </c>
      <c r="U290" s="3" t="str">
        <f t="shared" si="33"/>
        <v/>
      </c>
      <c r="V290" s="4" t="str">
        <f t="shared" si="34"/>
        <v/>
      </c>
      <c r="W290" s="4" t="str">
        <f t="shared" si="35"/>
        <v/>
      </c>
      <c r="X290" t="str">
        <f t="shared" si="30"/>
        <v/>
      </c>
    </row>
    <row r="291" spans="3:24">
      <c r="C291" s="12"/>
      <c r="D291" s="1"/>
      <c r="E291" s="1"/>
      <c r="F291" s="1"/>
      <c r="G291" s="11" t="str">
        <f t="shared" si="29"/>
        <v/>
      </c>
      <c r="H291" s="11" t="str">
        <f t="shared" si="31"/>
        <v/>
      </c>
      <c r="K291"/>
      <c r="L291" s="21" t="str">
        <f t="shared" si="32"/>
        <v/>
      </c>
      <c r="U291" s="3" t="str">
        <f t="shared" si="33"/>
        <v/>
      </c>
      <c r="V291" s="4" t="str">
        <f t="shared" si="34"/>
        <v/>
      </c>
      <c r="W291" s="4" t="str">
        <f t="shared" si="35"/>
        <v/>
      </c>
      <c r="X291" t="str">
        <f t="shared" si="30"/>
        <v/>
      </c>
    </row>
    <row r="292" spans="3:24">
      <c r="C292" s="12"/>
      <c r="D292" s="1"/>
      <c r="E292" s="1"/>
      <c r="F292" s="1"/>
      <c r="G292" s="11" t="str">
        <f t="shared" si="29"/>
        <v/>
      </c>
      <c r="H292" s="11" t="str">
        <f t="shared" si="31"/>
        <v/>
      </c>
      <c r="K292"/>
      <c r="L292" s="21" t="str">
        <f t="shared" si="32"/>
        <v/>
      </c>
      <c r="U292" s="3" t="str">
        <f t="shared" si="33"/>
        <v/>
      </c>
      <c r="V292" s="4" t="str">
        <f t="shared" si="34"/>
        <v/>
      </c>
      <c r="W292" s="4" t="str">
        <f t="shared" si="35"/>
        <v/>
      </c>
      <c r="X292" t="str">
        <f t="shared" si="30"/>
        <v/>
      </c>
    </row>
    <row r="293" spans="3:24">
      <c r="C293" s="12"/>
      <c r="D293" s="1"/>
      <c r="E293" s="1"/>
      <c r="F293" s="1"/>
      <c r="G293" s="11" t="str">
        <f t="shared" si="29"/>
        <v/>
      </c>
      <c r="H293" s="11" t="str">
        <f t="shared" si="31"/>
        <v/>
      </c>
      <c r="K293"/>
      <c r="L293" s="21" t="str">
        <f t="shared" si="32"/>
        <v/>
      </c>
      <c r="U293" s="3" t="str">
        <f t="shared" si="33"/>
        <v/>
      </c>
      <c r="V293" s="4" t="str">
        <f t="shared" si="34"/>
        <v/>
      </c>
      <c r="W293" s="4" t="str">
        <f t="shared" si="35"/>
        <v/>
      </c>
      <c r="X293" t="str">
        <f t="shared" si="30"/>
        <v/>
      </c>
    </row>
    <row r="294" spans="3:24">
      <c r="C294" s="12"/>
      <c r="D294" s="1"/>
      <c r="E294" s="1"/>
      <c r="F294" s="1"/>
      <c r="G294" s="11" t="str">
        <f t="shared" si="29"/>
        <v/>
      </c>
      <c r="H294" s="11" t="str">
        <f t="shared" si="31"/>
        <v/>
      </c>
      <c r="K294"/>
      <c r="L294" s="21" t="str">
        <f t="shared" si="32"/>
        <v/>
      </c>
      <c r="U294" s="3" t="str">
        <f t="shared" si="33"/>
        <v/>
      </c>
      <c r="V294" s="4" t="str">
        <f t="shared" si="34"/>
        <v/>
      </c>
      <c r="W294" s="4" t="str">
        <f t="shared" si="35"/>
        <v/>
      </c>
      <c r="X294" t="str">
        <f t="shared" si="30"/>
        <v/>
      </c>
    </row>
    <row r="295" spans="3:24">
      <c r="C295" s="12"/>
      <c r="D295" s="1"/>
      <c r="E295" s="1"/>
      <c r="F295" s="1"/>
      <c r="G295" s="11" t="str">
        <f t="shared" si="29"/>
        <v/>
      </c>
      <c r="H295" s="11" t="str">
        <f t="shared" si="31"/>
        <v/>
      </c>
      <c r="K295"/>
      <c r="L295" s="21" t="str">
        <f t="shared" si="32"/>
        <v/>
      </c>
      <c r="U295" s="3" t="str">
        <f t="shared" si="33"/>
        <v/>
      </c>
      <c r="V295" s="4" t="str">
        <f t="shared" si="34"/>
        <v/>
      </c>
      <c r="W295" s="4" t="str">
        <f t="shared" si="35"/>
        <v/>
      </c>
      <c r="X295" t="str">
        <f t="shared" si="30"/>
        <v/>
      </c>
    </row>
    <row r="296" spans="3:24">
      <c r="C296" s="12"/>
      <c r="D296" s="1"/>
      <c r="E296" s="1"/>
      <c r="F296" s="1"/>
      <c r="G296" s="11" t="str">
        <f t="shared" si="29"/>
        <v/>
      </c>
      <c r="H296" s="11" t="str">
        <f t="shared" si="31"/>
        <v/>
      </c>
      <c r="K296"/>
      <c r="L296" s="21" t="str">
        <f t="shared" si="32"/>
        <v/>
      </c>
      <c r="U296" s="3" t="str">
        <f t="shared" si="33"/>
        <v/>
      </c>
      <c r="V296" s="4" t="str">
        <f t="shared" si="34"/>
        <v/>
      </c>
      <c r="W296" s="4" t="str">
        <f t="shared" si="35"/>
        <v/>
      </c>
      <c r="X296" t="str">
        <f t="shared" si="30"/>
        <v/>
      </c>
    </row>
    <row r="297" spans="3:24">
      <c r="C297" s="12"/>
      <c r="D297" s="1"/>
      <c r="E297" s="1"/>
      <c r="F297" s="1"/>
      <c r="G297" s="11" t="str">
        <f t="shared" si="29"/>
        <v/>
      </c>
      <c r="H297" s="11" t="str">
        <f t="shared" si="31"/>
        <v/>
      </c>
      <c r="K297"/>
      <c r="L297" s="21" t="str">
        <f t="shared" si="32"/>
        <v/>
      </c>
      <c r="U297" s="3" t="str">
        <f t="shared" si="33"/>
        <v/>
      </c>
      <c r="V297" s="4" t="str">
        <f t="shared" si="34"/>
        <v/>
      </c>
      <c r="W297" s="4" t="str">
        <f t="shared" si="35"/>
        <v/>
      </c>
      <c r="X297" t="str">
        <f t="shared" si="30"/>
        <v/>
      </c>
    </row>
    <row r="298" spans="3:24">
      <c r="C298" s="12"/>
      <c r="D298" s="1"/>
      <c r="E298" s="1"/>
      <c r="F298" s="1"/>
      <c r="G298" s="11" t="str">
        <f t="shared" si="29"/>
        <v/>
      </c>
      <c r="H298" s="11" t="str">
        <f t="shared" si="31"/>
        <v/>
      </c>
      <c r="K298"/>
      <c r="L298" s="21" t="str">
        <f t="shared" si="32"/>
        <v/>
      </c>
      <c r="U298" s="3" t="str">
        <f t="shared" si="33"/>
        <v/>
      </c>
      <c r="V298" s="4" t="str">
        <f t="shared" si="34"/>
        <v/>
      </c>
      <c r="W298" s="4" t="str">
        <f t="shared" si="35"/>
        <v/>
      </c>
      <c r="X298" t="str">
        <f t="shared" si="30"/>
        <v/>
      </c>
    </row>
    <row r="299" spans="3:24">
      <c r="C299" s="12"/>
      <c r="D299" s="1"/>
      <c r="E299" s="1"/>
      <c r="F299" s="1"/>
      <c r="G299" s="11" t="str">
        <f t="shared" si="29"/>
        <v/>
      </c>
      <c r="H299" s="11" t="str">
        <f t="shared" si="31"/>
        <v/>
      </c>
      <c r="K299"/>
      <c r="L299" s="21" t="str">
        <f t="shared" si="32"/>
        <v/>
      </c>
      <c r="U299" s="3" t="str">
        <f t="shared" si="33"/>
        <v/>
      </c>
      <c r="V299" s="4" t="str">
        <f t="shared" si="34"/>
        <v/>
      </c>
      <c r="W299" s="4" t="str">
        <f t="shared" si="35"/>
        <v/>
      </c>
      <c r="X299" t="str">
        <f t="shared" si="30"/>
        <v/>
      </c>
    </row>
    <row r="300" spans="3:24">
      <c r="C300" s="12"/>
      <c r="D300" s="1"/>
      <c r="E300" s="1"/>
      <c r="F300" s="1"/>
      <c r="G300" s="11" t="str">
        <f t="shared" si="29"/>
        <v/>
      </c>
      <c r="H300" s="11" t="str">
        <f t="shared" si="31"/>
        <v/>
      </c>
      <c r="K300"/>
      <c r="L300" s="21" t="str">
        <f t="shared" si="32"/>
        <v/>
      </c>
      <c r="U300" s="3" t="str">
        <f t="shared" si="33"/>
        <v/>
      </c>
      <c r="V300" s="4" t="str">
        <f t="shared" si="34"/>
        <v/>
      </c>
      <c r="W300" s="4" t="str">
        <f t="shared" si="35"/>
        <v/>
      </c>
      <c r="X300" t="str">
        <f t="shared" si="30"/>
        <v/>
      </c>
    </row>
    <row r="301" spans="3:24">
      <c r="C301" s="12"/>
      <c r="D301" s="1"/>
      <c r="E301" s="1"/>
      <c r="F301" s="1"/>
      <c r="G301" s="11" t="str">
        <f t="shared" si="29"/>
        <v/>
      </c>
      <c r="H301" s="11" t="str">
        <f t="shared" si="31"/>
        <v/>
      </c>
      <c r="K301"/>
      <c r="L301" s="21" t="str">
        <f t="shared" si="32"/>
        <v/>
      </c>
      <c r="U301" s="3" t="str">
        <f t="shared" si="33"/>
        <v/>
      </c>
      <c r="V301" s="4" t="str">
        <f t="shared" si="34"/>
        <v/>
      </c>
      <c r="W301" s="4" t="str">
        <f t="shared" si="35"/>
        <v/>
      </c>
      <c r="X301" t="str">
        <f t="shared" si="30"/>
        <v/>
      </c>
    </row>
    <row r="302" spans="3:24">
      <c r="C302" s="12"/>
      <c r="D302" s="1"/>
      <c r="E302" s="1"/>
      <c r="F302" s="1"/>
      <c r="G302" s="11" t="str">
        <f t="shared" si="29"/>
        <v/>
      </c>
      <c r="H302" s="11" t="str">
        <f t="shared" si="31"/>
        <v/>
      </c>
      <c r="K302"/>
      <c r="L302" s="21" t="str">
        <f t="shared" si="32"/>
        <v/>
      </c>
      <c r="U302" s="3" t="str">
        <f t="shared" si="33"/>
        <v/>
      </c>
      <c r="V302" s="4" t="str">
        <f t="shared" si="34"/>
        <v/>
      </c>
      <c r="W302" s="4" t="str">
        <f t="shared" si="35"/>
        <v/>
      </c>
      <c r="X302" t="str">
        <f t="shared" si="30"/>
        <v/>
      </c>
    </row>
    <row r="303" spans="3:24">
      <c r="C303" s="12"/>
      <c r="D303" s="1"/>
      <c r="E303" s="1"/>
      <c r="F303" s="1"/>
      <c r="G303" s="11" t="str">
        <f t="shared" si="29"/>
        <v/>
      </c>
      <c r="H303" s="11" t="str">
        <f t="shared" si="31"/>
        <v/>
      </c>
      <c r="K303"/>
      <c r="L303" s="21" t="str">
        <f t="shared" si="32"/>
        <v/>
      </c>
      <c r="U303" s="3" t="str">
        <f t="shared" si="33"/>
        <v/>
      </c>
      <c r="V303" s="4" t="str">
        <f t="shared" si="34"/>
        <v/>
      </c>
      <c r="W303" s="4" t="str">
        <f t="shared" si="35"/>
        <v/>
      </c>
      <c r="X303" t="str">
        <f t="shared" si="30"/>
        <v/>
      </c>
    </row>
    <row r="304" spans="3:24">
      <c r="C304" s="12"/>
      <c r="D304" s="1"/>
      <c r="E304" s="1"/>
      <c r="F304" s="1"/>
      <c r="G304" s="11" t="str">
        <f t="shared" si="29"/>
        <v/>
      </c>
      <c r="H304" s="11" t="str">
        <f t="shared" si="31"/>
        <v/>
      </c>
      <c r="K304"/>
      <c r="L304" s="21" t="str">
        <f t="shared" si="32"/>
        <v/>
      </c>
      <c r="U304" s="3" t="str">
        <f t="shared" si="33"/>
        <v/>
      </c>
      <c r="V304" s="4" t="str">
        <f t="shared" si="34"/>
        <v/>
      </c>
      <c r="W304" s="4" t="str">
        <f t="shared" si="35"/>
        <v/>
      </c>
      <c r="X304" t="str">
        <f t="shared" si="30"/>
        <v/>
      </c>
    </row>
    <row r="305" spans="3:24">
      <c r="C305" s="12"/>
      <c r="D305" s="1"/>
      <c r="E305" s="1"/>
      <c r="F305" s="1"/>
      <c r="G305" s="11" t="str">
        <f t="shared" si="29"/>
        <v/>
      </c>
      <c r="H305" s="11" t="str">
        <f t="shared" si="31"/>
        <v/>
      </c>
      <c r="K305"/>
      <c r="L305" s="21" t="str">
        <f t="shared" si="32"/>
        <v/>
      </c>
      <c r="U305" s="3" t="str">
        <f t="shared" si="33"/>
        <v/>
      </c>
      <c r="V305" s="4" t="str">
        <f t="shared" si="34"/>
        <v/>
      </c>
      <c r="W305" s="4" t="str">
        <f t="shared" si="35"/>
        <v/>
      </c>
      <c r="X305" t="str">
        <f t="shared" si="30"/>
        <v/>
      </c>
    </row>
    <row r="306" spans="3:24">
      <c r="C306" s="12"/>
      <c r="D306" s="1"/>
      <c r="E306" s="1"/>
      <c r="F306" s="1"/>
      <c r="G306" s="11" t="str">
        <f t="shared" si="29"/>
        <v/>
      </c>
      <c r="H306" s="11" t="str">
        <f t="shared" si="31"/>
        <v/>
      </c>
      <c r="K306"/>
      <c r="L306" s="21" t="str">
        <f t="shared" si="32"/>
        <v/>
      </c>
      <c r="U306" s="3" t="str">
        <f t="shared" si="33"/>
        <v/>
      </c>
      <c r="V306" s="4" t="str">
        <f t="shared" si="34"/>
        <v/>
      </c>
      <c r="W306" s="4" t="str">
        <f t="shared" si="35"/>
        <v/>
      </c>
      <c r="X306" t="str">
        <f t="shared" si="30"/>
        <v/>
      </c>
    </row>
    <row r="307" spans="3:24">
      <c r="C307" s="12"/>
      <c r="D307" s="1"/>
      <c r="E307" s="1"/>
      <c r="F307" s="1"/>
      <c r="G307" s="11" t="str">
        <f t="shared" si="29"/>
        <v/>
      </c>
      <c r="H307" s="11" t="str">
        <f t="shared" si="31"/>
        <v/>
      </c>
      <c r="K307"/>
      <c r="L307" s="21" t="str">
        <f t="shared" si="32"/>
        <v/>
      </c>
      <c r="U307" s="3" t="str">
        <f t="shared" si="33"/>
        <v/>
      </c>
      <c r="V307" s="4" t="str">
        <f t="shared" si="34"/>
        <v/>
      </c>
      <c r="W307" s="4" t="str">
        <f t="shared" si="35"/>
        <v/>
      </c>
      <c r="X307" t="str">
        <f t="shared" si="30"/>
        <v/>
      </c>
    </row>
    <row r="308" spans="3:24">
      <c r="C308" s="12"/>
      <c r="D308" s="1"/>
      <c r="E308" s="1"/>
      <c r="F308" s="1"/>
      <c r="G308" s="11" t="str">
        <f t="shared" si="29"/>
        <v/>
      </c>
      <c r="H308" s="11" t="str">
        <f t="shared" si="31"/>
        <v/>
      </c>
      <c r="K308"/>
      <c r="L308" s="21" t="str">
        <f t="shared" si="32"/>
        <v/>
      </c>
      <c r="U308" s="3" t="str">
        <f t="shared" si="33"/>
        <v/>
      </c>
      <c r="V308" s="4" t="str">
        <f t="shared" si="34"/>
        <v/>
      </c>
      <c r="W308" s="4" t="str">
        <f t="shared" si="35"/>
        <v/>
      </c>
      <c r="X308" t="str">
        <f t="shared" si="30"/>
        <v/>
      </c>
    </row>
    <row r="309" spans="3:24">
      <c r="C309" s="12"/>
      <c r="D309" s="1"/>
      <c r="E309" s="1"/>
      <c r="F309" s="1"/>
      <c r="G309" s="11" t="str">
        <f t="shared" si="29"/>
        <v/>
      </c>
      <c r="H309" s="11" t="str">
        <f t="shared" si="31"/>
        <v/>
      </c>
      <c r="K309"/>
      <c r="L309" s="21" t="str">
        <f t="shared" si="32"/>
        <v/>
      </c>
      <c r="U309" s="3" t="str">
        <f t="shared" si="33"/>
        <v/>
      </c>
      <c r="V309" s="4" t="str">
        <f t="shared" si="34"/>
        <v/>
      </c>
      <c r="W309" s="4" t="str">
        <f t="shared" si="35"/>
        <v/>
      </c>
      <c r="X309" t="str">
        <f t="shared" si="30"/>
        <v/>
      </c>
    </row>
    <row r="310" spans="3:24">
      <c r="C310" s="12"/>
      <c r="D310" s="1"/>
      <c r="E310" s="1"/>
      <c r="F310" s="1"/>
      <c r="G310" s="11" t="str">
        <f t="shared" si="29"/>
        <v/>
      </c>
      <c r="H310" s="11" t="str">
        <f t="shared" si="31"/>
        <v/>
      </c>
      <c r="K310"/>
      <c r="L310" s="21" t="str">
        <f t="shared" si="32"/>
        <v/>
      </c>
      <c r="U310" s="3" t="str">
        <f t="shared" si="33"/>
        <v/>
      </c>
      <c r="V310" s="4" t="str">
        <f t="shared" si="34"/>
        <v/>
      </c>
      <c r="W310" s="4" t="str">
        <f t="shared" si="35"/>
        <v/>
      </c>
      <c r="X310" t="str">
        <f t="shared" si="30"/>
        <v/>
      </c>
    </row>
    <row r="311" spans="3:24">
      <c r="C311" s="12"/>
      <c r="D311" s="1"/>
      <c r="E311" s="1"/>
      <c r="F311" s="1"/>
      <c r="G311" s="11" t="str">
        <f t="shared" si="29"/>
        <v/>
      </c>
      <c r="H311" s="11" t="str">
        <f t="shared" si="31"/>
        <v/>
      </c>
      <c r="K311"/>
      <c r="L311" s="21" t="str">
        <f t="shared" si="32"/>
        <v/>
      </c>
      <c r="U311" s="3" t="str">
        <f t="shared" si="33"/>
        <v/>
      </c>
      <c r="V311" s="4" t="str">
        <f t="shared" si="34"/>
        <v/>
      </c>
      <c r="W311" s="4" t="str">
        <f t="shared" si="35"/>
        <v/>
      </c>
      <c r="X311" t="str">
        <f t="shared" si="30"/>
        <v/>
      </c>
    </row>
    <row r="312" spans="3:24">
      <c r="C312" s="12"/>
      <c r="D312" s="1"/>
      <c r="E312" s="1"/>
      <c r="F312" s="1"/>
      <c r="G312" s="11" t="str">
        <f t="shared" si="29"/>
        <v/>
      </c>
      <c r="H312" s="11" t="str">
        <f t="shared" si="31"/>
        <v/>
      </c>
      <c r="K312"/>
      <c r="L312" s="21" t="str">
        <f t="shared" si="32"/>
        <v/>
      </c>
      <c r="U312" s="3" t="str">
        <f t="shared" si="33"/>
        <v/>
      </c>
      <c r="V312" s="4" t="str">
        <f t="shared" si="34"/>
        <v/>
      </c>
      <c r="W312" s="4" t="str">
        <f t="shared" si="35"/>
        <v/>
      </c>
      <c r="X312" t="str">
        <f t="shared" si="30"/>
        <v/>
      </c>
    </row>
    <row r="313" spans="3:24">
      <c r="C313" s="12"/>
      <c r="D313" s="1"/>
      <c r="E313" s="1"/>
      <c r="F313" s="1"/>
      <c r="G313" s="11" t="str">
        <f t="shared" si="29"/>
        <v/>
      </c>
      <c r="H313" s="11" t="str">
        <f t="shared" si="31"/>
        <v/>
      </c>
      <c r="K313"/>
      <c r="L313" s="21" t="str">
        <f t="shared" si="32"/>
        <v/>
      </c>
      <c r="U313" s="3" t="str">
        <f t="shared" si="33"/>
        <v/>
      </c>
      <c r="V313" s="4" t="str">
        <f t="shared" si="34"/>
        <v/>
      </c>
      <c r="W313" s="4" t="str">
        <f t="shared" si="35"/>
        <v/>
      </c>
      <c r="X313" t="str">
        <f t="shared" si="30"/>
        <v/>
      </c>
    </row>
    <row r="314" spans="3:24">
      <c r="C314" s="12"/>
      <c r="D314" s="1"/>
      <c r="E314" s="1"/>
      <c r="F314" s="1"/>
      <c r="G314" s="11" t="str">
        <f t="shared" si="29"/>
        <v/>
      </c>
      <c r="H314" s="11" t="str">
        <f t="shared" si="31"/>
        <v/>
      </c>
      <c r="K314"/>
      <c r="L314" s="21" t="str">
        <f t="shared" si="32"/>
        <v/>
      </c>
      <c r="U314" s="3" t="str">
        <f t="shared" si="33"/>
        <v/>
      </c>
      <c r="V314" s="4" t="str">
        <f t="shared" si="34"/>
        <v/>
      </c>
      <c r="W314" s="4" t="str">
        <f t="shared" si="35"/>
        <v/>
      </c>
      <c r="X314" t="str">
        <f t="shared" si="30"/>
        <v/>
      </c>
    </row>
    <row r="315" spans="3:24">
      <c r="C315" s="12"/>
      <c r="D315" s="1"/>
      <c r="E315" s="1"/>
      <c r="F315" s="1"/>
      <c r="G315" s="11" t="str">
        <f t="shared" si="29"/>
        <v/>
      </c>
      <c r="H315" s="11" t="str">
        <f t="shared" si="31"/>
        <v/>
      </c>
      <c r="K315"/>
      <c r="L315" s="21" t="str">
        <f t="shared" si="32"/>
        <v/>
      </c>
      <c r="U315" s="3" t="str">
        <f t="shared" si="33"/>
        <v/>
      </c>
      <c r="V315" s="4" t="str">
        <f t="shared" si="34"/>
        <v/>
      </c>
      <c r="W315" s="4" t="str">
        <f t="shared" si="35"/>
        <v/>
      </c>
      <c r="X315" t="str">
        <f t="shared" si="30"/>
        <v/>
      </c>
    </row>
    <row r="316" spans="3:24">
      <c r="C316" s="12"/>
      <c r="D316" s="1"/>
      <c r="E316" s="1"/>
      <c r="F316" s="1"/>
      <c r="G316" s="11" t="str">
        <f t="shared" si="29"/>
        <v/>
      </c>
      <c r="H316" s="11" t="str">
        <f t="shared" si="31"/>
        <v/>
      </c>
      <c r="K316"/>
      <c r="L316" s="21" t="str">
        <f t="shared" si="32"/>
        <v/>
      </c>
      <c r="U316" s="3" t="str">
        <f t="shared" si="33"/>
        <v/>
      </c>
      <c r="V316" s="4" t="str">
        <f t="shared" si="34"/>
        <v/>
      </c>
      <c r="W316" s="4" t="str">
        <f t="shared" si="35"/>
        <v/>
      </c>
      <c r="X316" t="str">
        <f t="shared" si="30"/>
        <v/>
      </c>
    </row>
    <row r="317" spans="3:24">
      <c r="C317" s="12"/>
      <c r="D317" s="1"/>
      <c r="E317" s="1"/>
      <c r="F317" s="1"/>
      <c r="G317" s="11" t="str">
        <f t="shared" si="29"/>
        <v/>
      </c>
      <c r="H317" s="11" t="str">
        <f t="shared" si="31"/>
        <v/>
      </c>
      <c r="K317"/>
      <c r="L317" s="21" t="str">
        <f t="shared" si="32"/>
        <v/>
      </c>
      <c r="U317" s="3" t="str">
        <f t="shared" si="33"/>
        <v/>
      </c>
      <c r="V317" s="4" t="str">
        <f t="shared" si="34"/>
        <v/>
      </c>
      <c r="W317" s="4" t="str">
        <f t="shared" si="35"/>
        <v/>
      </c>
      <c r="X317" t="str">
        <f t="shared" si="30"/>
        <v/>
      </c>
    </row>
    <row r="318" spans="3:24">
      <c r="C318" s="12"/>
      <c r="D318" s="1"/>
      <c r="E318" s="1"/>
      <c r="F318" s="1"/>
      <c r="G318" s="11" t="str">
        <f t="shared" si="29"/>
        <v/>
      </c>
      <c r="H318" s="11" t="str">
        <f t="shared" si="31"/>
        <v/>
      </c>
      <c r="K318"/>
      <c r="L318" s="21" t="str">
        <f t="shared" si="32"/>
        <v/>
      </c>
      <c r="U318" s="3" t="str">
        <f t="shared" si="33"/>
        <v/>
      </c>
      <c r="V318" s="4" t="str">
        <f t="shared" si="34"/>
        <v/>
      </c>
      <c r="W318" s="4" t="str">
        <f t="shared" si="35"/>
        <v/>
      </c>
      <c r="X318" t="str">
        <f t="shared" si="30"/>
        <v/>
      </c>
    </row>
    <row r="319" spans="3:24">
      <c r="C319" s="12"/>
      <c r="D319" s="1"/>
      <c r="E319" s="1"/>
      <c r="F319" s="1"/>
      <c r="G319" s="11" t="str">
        <f t="shared" si="29"/>
        <v/>
      </c>
      <c r="H319" s="11" t="str">
        <f t="shared" si="31"/>
        <v/>
      </c>
      <c r="K319"/>
      <c r="L319" s="21" t="str">
        <f t="shared" si="32"/>
        <v/>
      </c>
      <c r="U319" s="3" t="str">
        <f t="shared" si="33"/>
        <v/>
      </c>
      <c r="V319" s="4" t="str">
        <f t="shared" si="34"/>
        <v/>
      </c>
      <c r="W319" s="4" t="str">
        <f t="shared" si="35"/>
        <v/>
      </c>
      <c r="X319" t="str">
        <f t="shared" si="30"/>
        <v/>
      </c>
    </row>
    <row r="320" spans="3:24">
      <c r="C320" s="12"/>
      <c r="D320" s="1"/>
      <c r="E320" s="1"/>
      <c r="F320" s="1"/>
      <c r="G320" s="11" t="str">
        <f t="shared" si="29"/>
        <v/>
      </c>
      <c r="H320" s="11" t="str">
        <f t="shared" si="31"/>
        <v/>
      </c>
      <c r="K320"/>
      <c r="L320" s="21" t="str">
        <f t="shared" si="32"/>
        <v/>
      </c>
      <c r="U320" s="3" t="str">
        <f t="shared" si="33"/>
        <v/>
      </c>
      <c r="V320" s="4" t="str">
        <f t="shared" si="34"/>
        <v/>
      </c>
      <c r="W320" s="4" t="str">
        <f t="shared" si="35"/>
        <v/>
      </c>
      <c r="X320" t="str">
        <f t="shared" si="30"/>
        <v/>
      </c>
    </row>
    <row r="321" spans="3:24">
      <c r="C321" s="12"/>
      <c r="D321" s="1"/>
      <c r="E321" s="1"/>
      <c r="F321" s="1"/>
      <c r="G321" s="11" t="str">
        <f t="shared" si="29"/>
        <v/>
      </c>
      <c r="H321" s="11" t="str">
        <f t="shared" si="31"/>
        <v/>
      </c>
      <c r="K321"/>
      <c r="L321" s="21" t="str">
        <f t="shared" si="32"/>
        <v/>
      </c>
      <c r="U321" s="3" t="str">
        <f t="shared" si="33"/>
        <v/>
      </c>
      <c r="V321" s="4" t="str">
        <f t="shared" si="34"/>
        <v/>
      </c>
      <c r="W321" s="4" t="str">
        <f t="shared" si="35"/>
        <v/>
      </c>
      <c r="X321" t="str">
        <f t="shared" si="30"/>
        <v/>
      </c>
    </row>
    <row r="322" spans="3:24">
      <c r="C322" s="12"/>
      <c r="D322" s="1"/>
      <c r="E322" s="1"/>
      <c r="F322" s="1"/>
      <c r="G322" s="11" t="str">
        <f t="shared" ref="G322:G368" si="36">IF(X322="", "", TIMEVALUE("0:" &amp; X322))</f>
        <v/>
      </c>
      <c r="H322" s="11" t="str">
        <f t="shared" si="31"/>
        <v/>
      </c>
      <c r="K322"/>
      <c r="L322" s="21" t="str">
        <f t="shared" si="32"/>
        <v/>
      </c>
      <c r="U322" s="3" t="str">
        <f t="shared" si="33"/>
        <v/>
      </c>
      <c r="V322" s="4" t="str">
        <f t="shared" si="34"/>
        <v/>
      </c>
      <c r="W322" s="4" t="str">
        <f t="shared" si="35"/>
        <v/>
      </c>
      <c r="X322" t="str">
        <f t="shared" ref="X322:X368" si="37">IF(V322="", "", IF(MOD(W322,1)*60&gt;=59.5, TEXT(INT(W322)+1, "0") &amp; ":00", TEXT(INT(W322), "0") &amp; ":" &amp; TEXT(ROUND(MOD(W322,1)*60, 0), "00")))</f>
        <v/>
      </c>
    </row>
    <row r="323" spans="3:24">
      <c r="C323" s="12"/>
      <c r="D323" s="1"/>
      <c r="E323" s="1"/>
      <c r="F323" s="1"/>
      <c r="G323" s="11" t="str">
        <f t="shared" si="36"/>
        <v/>
      </c>
      <c r="H323" s="11" t="str">
        <f t="shared" ref="H323:H368" si="38">IF(X323="", "", TIMEVALUE("0:" &amp; X323))</f>
        <v/>
      </c>
      <c r="K323"/>
      <c r="L323" s="21" t="str">
        <f t="shared" ref="L323:L368" si="39">HYPERLINK("#'2024ds'!B" &amp; ROW(B323), "")</f>
        <v/>
      </c>
      <c r="U323" s="3" t="str">
        <f t="shared" ref="U323:U368" si="40">IF(C323="","",TIMEVALUE(C323))</f>
        <v/>
      </c>
      <c r="V323" s="4" t="str">
        <f t="shared" ref="V323:V368" si="41">IF(C323="","",HOUR(C323)*60 + MINUTE(C323) + SECOND(C323)/60)</f>
        <v/>
      </c>
      <c r="W323" s="4" t="str">
        <f t="shared" ref="W323:W369" si="42">IF(V323="","",V323/D323)</f>
        <v/>
      </c>
      <c r="X323" t="str">
        <f t="shared" si="37"/>
        <v/>
      </c>
    </row>
    <row r="324" spans="3:24">
      <c r="C324" s="12"/>
      <c r="D324" s="1"/>
      <c r="E324" s="1"/>
      <c r="F324" s="1"/>
      <c r="G324" s="11" t="str">
        <f t="shared" si="36"/>
        <v/>
      </c>
      <c r="H324" s="11" t="str">
        <f t="shared" si="38"/>
        <v/>
      </c>
      <c r="K324"/>
      <c r="L324" s="21" t="str">
        <f t="shared" si="39"/>
        <v/>
      </c>
      <c r="U324" s="3" t="str">
        <f t="shared" si="40"/>
        <v/>
      </c>
      <c r="V324" s="4" t="str">
        <f t="shared" si="41"/>
        <v/>
      </c>
      <c r="W324" s="4" t="str">
        <f t="shared" si="42"/>
        <v/>
      </c>
      <c r="X324" t="str">
        <f t="shared" si="37"/>
        <v/>
      </c>
    </row>
    <row r="325" spans="3:24">
      <c r="C325" s="12"/>
      <c r="D325" s="1"/>
      <c r="E325" s="1"/>
      <c r="F325" s="1"/>
      <c r="G325" s="11" t="str">
        <f t="shared" si="36"/>
        <v/>
      </c>
      <c r="H325" s="11" t="str">
        <f t="shared" si="38"/>
        <v/>
      </c>
      <c r="K325"/>
      <c r="L325" s="21" t="str">
        <f t="shared" si="39"/>
        <v/>
      </c>
      <c r="U325" s="3" t="str">
        <f t="shared" si="40"/>
        <v/>
      </c>
      <c r="V325" s="4" t="str">
        <f t="shared" si="41"/>
        <v/>
      </c>
      <c r="W325" s="4" t="str">
        <f t="shared" si="42"/>
        <v/>
      </c>
      <c r="X325" t="str">
        <f t="shared" si="37"/>
        <v/>
      </c>
    </row>
    <row r="326" spans="3:24">
      <c r="C326" s="12"/>
      <c r="D326" s="1"/>
      <c r="E326" s="1"/>
      <c r="F326" s="1"/>
      <c r="G326" s="11" t="str">
        <f t="shared" si="36"/>
        <v/>
      </c>
      <c r="H326" s="11" t="str">
        <f t="shared" si="38"/>
        <v/>
      </c>
      <c r="K326"/>
      <c r="L326" s="21" t="str">
        <f t="shared" si="39"/>
        <v/>
      </c>
      <c r="U326" s="3" t="str">
        <f t="shared" si="40"/>
        <v/>
      </c>
      <c r="V326" s="4" t="str">
        <f t="shared" si="41"/>
        <v/>
      </c>
      <c r="W326" s="4" t="str">
        <f t="shared" si="42"/>
        <v/>
      </c>
      <c r="X326" t="str">
        <f t="shared" si="37"/>
        <v/>
      </c>
    </row>
    <row r="327" spans="3:24">
      <c r="C327" s="12"/>
      <c r="D327" s="1"/>
      <c r="E327" s="1"/>
      <c r="F327" s="1"/>
      <c r="G327" s="11" t="str">
        <f t="shared" si="36"/>
        <v/>
      </c>
      <c r="H327" s="11" t="str">
        <f t="shared" si="38"/>
        <v/>
      </c>
      <c r="K327"/>
      <c r="L327" s="21" t="str">
        <f t="shared" si="39"/>
        <v/>
      </c>
      <c r="U327" s="3" t="str">
        <f t="shared" si="40"/>
        <v/>
      </c>
      <c r="V327" s="4" t="str">
        <f t="shared" si="41"/>
        <v/>
      </c>
      <c r="W327" s="4" t="str">
        <f t="shared" si="42"/>
        <v/>
      </c>
      <c r="X327" t="str">
        <f t="shared" si="37"/>
        <v/>
      </c>
    </row>
    <row r="328" spans="3:24">
      <c r="C328" s="12"/>
      <c r="D328" s="1"/>
      <c r="E328" s="1"/>
      <c r="F328" s="1"/>
      <c r="G328" s="11" t="str">
        <f t="shared" si="36"/>
        <v/>
      </c>
      <c r="H328" s="11" t="str">
        <f t="shared" si="38"/>
        <v/>
      </c>
      <c r="K328"/>
      <c r="L328" s="21" t="str">
        <f t="shared" si="39"/>
        <v/>
      </c>
      <c r="U328" s="3" t="str">
        <f t="shared" si="40"/>
        <v/>
      </c>
      <c r="V328" s="4" t="str">
        <f t="shared" si="41"/>
        <v/>
      </c>
      <c r="W328" s="4" t="str">
        <f t="shared" si="42"/>
        <v/>
      </c>
      <c r="X328" t="str">
        <f t="shared" si="37"/>
        <v/>
      </c>
    </row>
    <row r="329" spans="3:24">
      <c r="C329" s="12"/>
      <c r="D329" s="1"/>
      <c r="E329" s="1"/>
      <c r="F329" s="1"/>
      <c r="G329" s="11" t="str">
        <f t="shared" si="36"/>
        <v/>
      </c>
      <c r="H329" s="11" t="str">
        <f t="shared" si="38"/>
        <v/>
      </c>
      <c r="K329"/>
      <c r="L329" s="21" t="str">
        <f t="shared" si="39"/>
        <v/>
      </c>
      <c r="U329" s="3" t="str">
        <f t="shared" si="40"/>
        <v/>
      </c>
      <c r="V329" s="4" t="str">
        <f t="shared" si="41"/>
        <v/>
      </c>
      <c r="W329" s="4" t="str">
        <f t="shared" si="42"/>
        <v/>
      </c>
      <c r="X329" t="str">
        <f t="shared" si="37"/>
        <v/>
      </c>
    </row>
    <row r="330" spans="3:24">
      <c r="C330" s="12"/>
      <c r="D330" s="1"/>
      <c r="E330" s="1"/>
      <c r="F330" s="1"/>
      <c r="G330" s="11" t="str">
        <f t="shared" si="36"/>
        <v/>
      </c>
      <c r="H330" s="11" t="str">
        <f t="shared" si="38"/>
        <v/>
      </c>
      <c r="K330"/>
      <c r="L330" s="21" t="str">
        <f t="shared" si="39"/>
        <v/>
      </c>
      <c r="U330" s="3" t="str">
        <f t="shared" si="40"/>
        <v/>
      </c>
      <c r="V330" s="4" t="str">
        <f t="shared" si="41"/>
        <v/>
      </c>
      <c r="W330" s="4" t="str">
        <f t="shared" si="42"/>
        <v/>
      </c>
      <c r="X330" t="str">
        <f t="shared" si="37"/>
        <v/>
      </c>
    </row>
    <row r="331" spans="3:24">
      <c r="C331" s="12"/>
      <c r="D331" s="1"/>
      <c r="E331" s="1"/>
      <c r="F331" s="1"/>
      <c r="G331" s="11" t="str">
        <f t="shared" si="36"/>
        <v/>
      </c>
      <c r="H331" s="11" t="str">
        <f t="shared" si="38"/>
        <v/>
      </c>
      <c r="K331"/>
      <c r="L331" s="21" t="str">
        <f t="shared" si="39"/>
        <v/>
      </c>
      <c r="U331" s="3" t="str">
        <f t="shared" si="40"/>
        <v/>
      </c>
      <c r="V331" s="4" t="str">
        <f t="shared" si="41"/>
        <v/>
      </c>
      <c r="W331" s="4" t="str">
        <f t="shared" si="42"/>
        <v/>
      </c>
      <c r="X331" t="str">
        <f t="shared" si="37"/>
        <v/>
      </c>
    </row>
    <row r="332" spans="3:24">
      <c r="C332" s="12"/>
      <c r="D332" s="1"/>
      <c r="E332" s="1"/>
      <c r="F332" s="1"/>
      <c r="G332" s="11" t="str">
        <f t="shared" si="36"/>
        <v/>
      </c>
      <c r="H332" s="11" t="str">
        <f t="shared" si="38"/>
        <v/>
      </c>
      <c r="K332"/>
      <c r="L332" s="21" t="str">
        <f t="shared" si="39"/>
        <v/>
      </c>
      <c r="U332" s="3" t="str">
        <f t="shared" si="40"/>
        <v/>
      </c>
      <c r="V332" s="4" t="str">
        <f t="shared" si="41"/>
        <v/>
      </c>
      <c r="W332" s="4" t="str">
        <f t="shared" si="42"/>
        <v/>
      </c>
      <c r="X332" t="str">
        <f t="shared" si="37"/>
        <v/>
      </c>
    </row>
    <row r="333" spans="3:24">
      <c r="C333" s="12"/>
      <c r="D333" s="1"/>
      <c r="E333" s="1"/>
      <c r="F333" s="1"/>
      <c r="G333" s="11" t="str">
        <f t="shared" si="36"/>
        <v/>
      </c>
      <c r="H333" s="11" t="str">
        <f t="shared" si="38"/>
        <v/>
      </c>
      <c r="K333"/>
      <c r="L333" s="21" t="str">
        <f t="shared" si="39"/>
        <v/>
      </c>
      <c r="U333" s="3" t="str">
        <f t="shared" si="40"/>
        <v/>
      </c>
      <c r="V333" s="4" t="str">
        <f t="shared" si="41"/>
        <v/>
      </c>
      <c r="W333" s="4" t="str">
        <f t="shared" si="42"/>
        <v/>
      </c>
      <c r="X333" t="str">
        <f t="shared" si="37"/>
        <v/>
      </c>
    </row>
    <row r="334" spans="3:24">
      <c r="C334" s="12"/>
      <c r="D334" s="1"/>
      <c r="E334" s="1"/>
      <c r="F334" s="1"/>
      <c r="G334" s="11" t="str">
        <f t="shared" si="36"/>
        <v/>
      </c>
      <c r="H334" s="11" t="str">
        <f t="shared" si="38"/>
        <v/>
      </c>
      <c r="K334"/>
      <c r="L334" s="21" t="str">
        <f t="shared" si="39"/>
        <v/>
      </c>
      <c r="U334" s="3" t="str">
        <f t="shared" si="40"/>
        <v/>
      </c>
      <c r="V334" s="4" t="str">
        <f t="shared" si="41"/>
        <v/>
      </c>
      <c r="W334" s="4" t="str">
        <f t="shared" si="42"/>
        <v/>
      </c>
      <c r="X334" t="str">
        <f t="shared" si="37"/>
        <v/>
      </c>
    </row>
    <row r="335" spans="3:24">
      <c r="C335" s="12"/>
      <c r="D335" s="1"/>
      <c r="E335" s="1"/>
      <c r="F335" s="1"/>
      <c r="G335" s="11" t="str">
        <f t="shared" si="36"/>
        <v/>
      </c>
      <c r="H335" s="11" t="str">
        <f t="shared" si="38"/>
        <v/>
      </c>
      <c r="K335"/>
      <c r="L335" s="21" t="str">
        <f t="shared" si="39"/>
        <v/>
      </c>
      <c r="U335" s="3" t="str">
        <f t="shared" si="40"/>
        <v/>
      </c>
      <c r="V335" s="4" t="str">
        <f t="shared" si="41"/>
        <v/>
      </c>
      <c r="W335" s="4" t="str">
        <f t="shared" si="42"/>
        <v/>
      </c>
      <c r="X335" t="str">
        <f t="shared" si="37"/>
        <v/>
      </c>
    </row>
    <row r="336" spans="3:24">
      <c r="C336" s="12"/>
      <c r="D336" s="1"/>
      <c r="E336" s="1"/>
      <c r="F336" s="1"/>
      <c r="G336" s="11" t="str">
        <f t="shared" si="36"/>
        <v/>
      </c>
      <c r="H336" s="11" t="str">
        <f t="shared" si="38"/>
        <v/>
      </c>
      <c r="K336"/>
      <c r="L336" s="21" t="str">
        <f t="shared" si="39"/>
        <v/>
      </c>
      <c r="U336" s="3" t="str">
        <f t="shared" si="40"/>
        <v/>
      </c>
      <c r="V336" s="4" t="str">
        <f t="shared" si="41"/>
        <v/>
      </c>
      <c r="W336" s="4" t="str">
        <f t="shared" si="42"/>
        <v/>
      </c>
      <c r="X336" t="str">
        <f t="shared" si="37"/>
        <v/>
      </c>
    </row>
    <row r="337" spans="3:24">
      <c r="C337" s="12"/>
      <c r="D337" s="1"/>
      <c r="E337" s="1"/>
      <c r="F337" s="1"/>
      <c r="G337" s="11" t="str">
        <f t="shared" si="36"/>
        <v/>
      </c>
      <c r="H337" s="11" t="str">
        <f t="shared" si="38"/>
        <v/>
      </c>
      <c r="K337"/>
      <c r="L337" s="21" t="str">
        <f t="shared" si="39"/>
        <v/>
      </c>
      <c r="U337" s="3" t="str">
        <f t="shared" si="40"/>
        <v/>
      </c>
      <c r="V337" s="4" t="str">
        <f t="shared" si="41"/>
        <v/>
      </c>
      <c r="W337" s="4" t="str">
        <f t="shared" si="42"/>
        <v/>
      </c>
      <c r="X337" t="str">
        <f t="shared" si="37"/>
        <v/>
      </c>
    </row>
    <row r="338" spans="3:24">
      <c r="C338" s="12"/>
      <c r="D338" s="1"/>
      <c r="E338" s="1"/>
      <c r="F338" s="1"/>
      <c r="G338" s="11" t="str">
        <f t="shared" si="36"/>
        <v/>
      </c>
      <c r="H338" s="11" t="str">
        <f t="shared" si="38"/>
        <v/>
      </c>
      <c r="K338"/>
      <c r="L338" s="21" t="str">
        <f t="shared" si="39"/>
        <v/>
      </c>
      <c r="U338" s="3" t="str">
        <f t="shared" si="40"/>
        <v/>
      </c>
      <c r="V338" s="4" t="str">
        <f t="shared" si="41"/>
        <v/>
      </c>
      <c r="W338" s="4" t="str">
        <f t="shared" si="42"/>
        <v/>
      </c>
      <c r="X338" t="str">
        <f t="shared" si="37"/>
        <v/>
      </c>
    </row>
    <row r="339" spans="3:24">
      <c r="C339" s="12"/>
      <c r="D339" s="1"/>
      <c r="E339" s="1"/>
      <c r="F339" s="1"/>
      <c r="G339" s="11" t="str">
        <f t="shared" si="36"/>
        <v/>
      </c>
      <c r="H339" s="11" t="str">
        <f t="shared" si="38"/>
        <v/>
      </c>
      <c r="K339"/>
      <c r="L339" s="21" t="str">
        <f t="shared" si="39"/>
        <v/>
      </c>
      <c r="U339" s="3" t="str">
        <f t="shared" si="40"/>
        <v/>
      </c>
      <c r="V339" s="4" t="str">
        <f t="shared" si="41"/>
        <v/>
      </c>
      <c r="W339" s="4" t="str">
        <f t="shared" si="42"/>
        <v/>
      </c>
      <c r="X339" t="str">
        <f t="shared" si="37"/>
        <v/>
      </c>
    </row>
    <row r="340" spans="3:24">
      <c r="C340" s="12"/>
      <c r="D340" s="1"/>
      <c r="E340" s="1"/>
      <c r="F340" s="1"/>
      <c r="G340" s="11" t="str">
        <f t="shared" si="36"/>
        <v/>
      </c>
      <c r="H340" s="11" t="str">
        <f t="shared" si="38"/>
        <v/>
      </c>
      <c r="K340"/>
      <c r="L340" s="21" t="str">
        <f t="shared" si="39"/>
        <v/>
      </c>
      <c r="U340" s="3" t="str">
        <f t="shared" si="40"/>
        <v/>
      </c>
      <c r="V340" s="4" t="str">
        <f t="shared" si="41"/>
        <v/>
      </c>
      <c r="W340" s="4" t="str">
        <f t="shared" si="42"/>
        <v/>
      </c>
      <c r="X340" t="str">
        <f t="shared" si="37"/>
        <v/>
      </c>
    </row>
    <row r="341" spans="3:24">
      <c r="C341" s="12"/>
      <c r="D341" s="1"/>
      <c r="E341" s="1"/>
      <c r="F341" s="1"/>
      <c r="G341" s="11" t="str">
        <f t="shared" si="36"/>
        <v/>
      </c>
      <c r="H341" s="11" t="str">
        <f t="shared" si="38"/>
        <v/>
      </c>
      <c r="K341"/>
      <c r="L341" s="21" t="str">
        <f t="shared" si="39"/>
        <v/>
      </c>
      <c r="U341" s="3" t="str">
        <f t="shared" si="40"/>
        <v/>
      </c>
      <c r="V341" s="4" t="str">
        <f t="shared" si="41"/>
        <v/>
      </c>
      <c r="W341" s="4" t="str">
        <f t="shared" si="42"/>
        <v/>
      </c>
      <c r="X341" t="str">
        <f t="shared" si="37"/>
        <v/>
      </c>
    </row>
    <row r="342" spans="3:24">
      <c r="C342" s="12"/>
      <c r="D342" s="1"/>
      <c r="E342" s="1"/>
      <c r="F342" s="1"/>
      <c r="G342" s="11" t="str">
        <f t="shared" si="36"/>
        <v/>
      </c>
      <c r="H342" s="11" t="str">
        <f t="shared" si="38"/>
        <v/>
      </c>
      <c r="K342"/>
      <c r="L342" s="21" t="str">
        <f t="shared" si="39"/>
        <v/>
      </c>
      <c r="U342" s="3" t="str">
        <f t="shared" si="40"/>
        <v/>
      </c>
      <c r="V342" s="4" t="str">
        <f t="shared" si="41"/>
        <v/>
      </c>
      <c r="W342" s="4" t="str">
        <f t="shared" si="42"/>
        <v/>
      </c>
      <c r="X342" t="str">
        <f t="shared" si="37"/>
        <v/>
      </c>
    </row>
    <row r="343" spans="3:24">
      <c r="C343" s="12"/>
      <c r="D343" s="1"/>
      <c r="E343" s="1"/>
      <c r="F343" s="1"/>
      <c r="G343" s="11" t="str">
        <f t="shared" si="36"/>
        <v/>
      </c>
      <c r="H343" s="11" t="str">
        <f t="shared" si="38"/>
        <v/>
      </c>
      <c r="K343"/>
      <c r="L343" s="21" t="str">
        <f t="shared" si="39"/>
        <v/>
      </c>
      <c r="U343" s="3" t="str">
        <f t="shared" si="40"/>
        <v/>
      </c>
      <c r="V343" s="4" t="str">
        <f t="shared" si="41"/>
        <v/>
      </c>
      <c r="W343" s="4" t="str">
        <f t="shared" si="42"/>
        <v/>
      </c>
      <c r="X343" t="str">
        <f t="shared" si="37"/>
        <v/>
      </c>
    </row>
    <row r="344" spans="3:24">
      <c r="C344" s="12"/>
      <c r="D344" s="1"/>
      <c r="E344" s="1"/>
      <c r="F344" s="1"/>
      <c r="G344" s="11" t="str">
        <f t="shared" si="36"/>
        <v/>
      </c>
      <c r="H344" s="11" t="str">
        <f t="shared" si="38"/>
        <v/>
      </c>
      <c r="K344"/>
      <c r="L344" s="21" t="str">
        <f t="shared" si="39"/>
        <v/>
      </c>
      <c r="U344" s="3" t="str">
        <f t="shared" si="40"/>
        <v/>
      </c>
      <c r="V344" s="4" t="str">
        <f t="shared" si="41"/>
        <v/>
      </c>
      <c r="W344" s="4" t="str">
        <f t="shared" si="42"/>
        <v/>
      </c>
      <c r="X344" t="str">
        <f t="shared" si="37"/>
        <v/>
      </c>
    </row>
    <row r="345" spans="3:24">
      <c r="C345" s="12"/>
      <c r="D345" s="1"/>
      <c r="E345" s="1"/>
      <c r="F345" s="1"/>
      <c r="G345" s="11" t="str">
        <f t="shared" si="36"/>
        <v/>
      </c>
      <c r="H345" s="11" t="str">
        <f t="shared" si="38"/>
        <v/>
      </c>
      <c r="K345"/>
      <c r="L345" s="21" t="str">
        <f t="shared" si="39"/>
        <v/>
      </c>
      <c r="U345" s="3" t="str">
        <f t="shared" si="40"/>
        <v/>
      </c>
      <c r="V345" s="4" t="str">
        <f t="shared" si="41"/>
        <v/>
      </c>
      <c r="W345" s="4" t="str">
        <f t="shared" si="42"/>
        <v/>
      </c>
      <c r="X345" t="str">
        <f t="shared" si="37"/>
        <v/>
      </c>
    </row>
    <row r="346" spans="3:24">
      <c r="C346" s="12"/>
      <c r="D346" s="1"/>
      <c r="E346" s="1"/>
      <c r="F346" s="1"/>
      <c r="G346" s="11" t="str">
        <f t="shared" si="36"/>
        <v/>
      </c>
      <c r="H346" s="11" t="str">
        <f t="shared" si="38"/>
        <v/>
      </c>
      <c r="K346"/>
      <c r="L346" s="21" t="str">
        <f t="shared" si="39"/>
        <v/>
      </c>
      <c r="U346" s="3" t="str">
        <f t="shared" si="40"/>
        <v/>
      </c>
      <c r="V346" s="4" t="str">
        <f t="shared" si="41"/>
        <v/>
      </c>
      <c r="W346" s="4" t="str">
        <f t="shared" si="42"/>
        <v/>
      </c>
      <c r="X346" t="str">
        <f t="shared" si="37"/>
        <v/>
      </c>
    </row>
    <row r="347" spans="3:24">
      <c r="C347" s="12"/>
      <c r="D347" s="1"/>
      <c r="E347" s="1"/>
      <c r="F347" s="1"/>
      <c r="G347" s="11" t="str">
        <f t="shared" si="36"/>
        <v/>
      </c>
      <c r="H347" s="11" t="str">
        <f t="shared" si="38"/>
        <v/>
      </c>
      <c r="K347"/>
      <c r="L347" s="21" t="str">
        <f t="shared" si="39"/>
        <v/>
      </c>
      <c r="U347" s="3" t="str">
        <f t="shared" si="40"/>
        <v/>
      </c>
      <c r="V347" s="4" t="str">
        <f t="shared" si="41"/>
        <v/>
      </c>
      <c r="W347" s="4" t="str">
        <f t="shared" si="42"/>
        <v/>
      </c>
      <c r="X347" t="str">
        <f t="shared" si="37"/>
        <v/>
      </c>
    </row>
    <row r="348" spans="3:24">
      <c r="C348" s="12"/>
      <c r="D348" s="1"/>
      <c r="E348" s="1"/>
      <c r="F348" s="1"/>
      <c r="G348" s="11" t="str">
        <f t="shared" si="36"/>
        <v/>
      </c>
      <c r="H348" s="11" t="str">
        <f t="shared" si="38"/>
        <v/>
      </c>
      <c r="K348"/>
      <c r="L348" s="21" t="str">
        <f t="shared" si="39"/>
        <v/>
      </c>
      <c r="U348" s="3" t="str">
        <f t="shared" si="40"/>
        <v/>
      </c>
      <c r="V348" s="4" t="str">
        <f t="shared" si="41"/>
        <v/>
      </c>
      <c r="W348" s="4" t="str">
        <f t="shared" si="42"/>
        <v/>
      </c>
      <c r="X348" t="str">
        <f t="shared" si="37"/>
        <v/>
      </c>
    </row>
    <row r="349" spans="3:24">
      <c r="C349" s="12"/>
      <c r="D349" s="1"/>
      <c r="E349" s="1"/>
      <c r="F349" s="1"/>
      <c r="G349" s="11" t="str">
        <f t="shared" si="36"/>
        <v/>
      </c>
      <c r="H349" s="11" t="str">
        <f t="shared" si="38"/>
        <v/>
      </c>
      <c r="K349"/>
      <c r="L349" s="21" t="str">
        <f t="shared" si="39"/>
        <v/>
      </c>
      <c r="U349" s="3" t="str">
        <f t="shared" si="40"/>
        <v/>
      </c>
      <c r="V349" s="4" t="str">
        <f t="shared" si="41"/>
        <v/>
      </c>
      <c r="W349" s="4" t="str">
        <f t="shared" si="42"/>
        <v/>
      </c>
      <c r="X349" t="str">
        <f t="shared" si="37"/>
        <v/>
      </c>
    </row>
    <row r="350" spans="3:24">
      <c r="C350" s="12"/>
      <c r="D350" s="1"/>
      <c r="E350" s="1"/>
      <c r="F350" s="1"/>
      <c r="G350" s="11" t="str">
        <f t="shared" si="36"/>
        <v/>
      </c>
      <c r="H350" s="11" t="str">
        <f t="shared" si="38"/>
        <v/>
      </c>
      <c r="K350"/>
      <c r="L350" s="21" t="str">
        <f t="shared" si="39"/>
        <v/>
      </c>
      <c r="U350" s="3" t="str">
        <f t="shared" si="40"/>
        <v/>
      </c>
      <c r="V350" s="4" t="str">
        <f t="shared" si="41"/>
        <v/>
      </c>
      <c r="W350" s="4" t="str">
        <f t="shared" si="42"/>
        <v/>
      </c>
      <c r="X350" t="str">
        <f t="shared" si="37"/>
        <v/>
      </c>
    </row>
    <row r="351" spans="3:24">
      <c r="C351" s="12"/>
      <c r="D351" s="1"/>
      <c r="E351" s="1"/>
      <c r="F351" s="1"/>
      <c r="G351" s="11" t="str">
        <f t="shared" si="36"/>
        <v/>
      </c>
      <c r="H351" s="11" t="str">
        <f t="shared" si="38"/>
        <v/>
      </c>
      <c r="K351"/>
      <c r="L351" s="21" t="str">
        <f t="shared" si="39"/>
        <v/>
      </c>
      <c r="U351" s="3" t="str">
        <f t="shared" si="40"/>
        <v/>
      </c>
      <c r="V351" s="4" t="str">
        <f t="shared" si="41"/>
        <v/>
      </c>
      <c r="W351" s="4" t="str">
        <f t="shared" si="42"/>
        <v/>
      </c>
      <c r="X351" t="str">
        <f t="shared" si="37"/>
        <v/>
      </c>
    </row>
    <row r="352" spans="3:24">
      <c r="C352" s="12"/>
      <c r="D352" s="1"/>
      <c r="E352" s="1"/>
      <c r="F352" s="1"/>
      <c r="G352" s="11" t="str">
        <f t="shared" si="36"/>
        <v/>
      </c>
      <c r="H352" s="11" t="str">
        <f t="shared" si="38"/>
        <v/>
      </c>
      <c r="K352"/>
      <c r="L352" s="21" t="str">
        <f t="shared" si="39"/>
        <v/>
      </c>
      <c r="U352" s="3" t="str">
        <f t="shared" si="40"/>
        <v/>
      </c>
      <c r="V352" s="4" t="str">
        <f t="shared" si="41"/>
        <v/>
      </c>
      <c r="W352" s="4" t="str">
        <f t="shared" si="42"/>
        <v/>
      </c>
      <c r="X352" t="str">
        <f t="shared" si="37"/>
        <v/>
      </c>
    </row>
    <row r="353" spans="3:24">
      <c r="C353" s="12"/>
      <c r="D353" s="1"/>
      <c r="E353" s="1"/>
      <c r="F353" s="1"/>
      <c r="G353" s="11" t="str">
        <f t="shared" si="36"/>
        <v/>
      </c>
      <c r="H353" s="11" t="str">
        <f t="shared" si="38"/>
        <v/>
      </c>
      <c r="K353"/>
      <c r="L353" s="21" t="str">
        <f t="shared" si="39"/>
        <v/>
      </c>
      <c r="U353" s="3" t="str">
        <f t="shared" si="40"/>
        <v/>
      </c>
      <c r="V353" s="4" t="str">
        <f t="shared" si="41"/>
        <v/>
      </c>
      <c r="W353" s="4" t="str">
        <f t="shared" si="42"/>
        <v/>
      </c>
      <c r="X353" t="str">
        <f t="shared" si="37"/>
        <v/>
      </c>
    </row>
    <row r="354" spans="3:24">
      <c r="C354" s="12"/>
      <c r="D354" s="1"/>
      <c r="E354" s="1"/>
      <c r="F354" s="1"/>
      <c r="G354" s="11" t="str">
        <f t="shared" si="36"/>
        <v/>
      </c>
      <c r="H354" s="11" t="str">
        <f t="shared" si="38"/>
        <v/>
      </c>
      <c r="K354"/>
      <c r="L354" s="21" t="str">
        <f t="shared" si="39"/>
        <v/>
      </c>
      <c r="U354" s="3" t="str">
        <f t="shared" si="40"/>
        <v/>
      </c>
      <c r="V354" s="4" t="str">
        <f t="shared" si="41"/>
        <v/>
      </c>
      <c r="W354" s="4" t="str">
        <f t="shared" si="42"/>
        <v/>
      </c>
      <c r="X354" t="str">
        <f t="shared" si="37"/>
        <v/>
      </c>
    </row>
    <row r="355" spans="3:24">
      <c r="C355" s="12"/>
      <c r="D355" s="1"/>
      <c r="E355" s="1"/>
      <c r="F355" s="1"/>
      <c r="G355" s="11" t="str">
        <f t="shared" si="36"/>
        <v/>
      </c>
      <c r="H355" s="11" t="str">
        <f t="shared" si="38"/>
        <v/>
      </c>
      <c r="K355"/>
      <c r="L355" s="21" t="str">
        <f t="shared" si="39"/>
        <v/>
      </c>
      <c r="U355" s="3" t="str">
        <f t="shared" si="40"/>
        <v/>
      </c>
      <c r="V355" s="4" t="str">
        <f t="shared" si="41"/>
        <v/>
      </c>
      <c r="W355" s="4" t="str">
        <f t="shared" si="42"/>
        <v/>
      </c>
      <c r="X355" t="str">
        <f t="shared" si="37"/>
        <v/>
      </c>
    </row>
    <row r="356" spans="3:24">
      <c r="C356" s="12"/>
      <c r="D356" s="1"/>
      <c r="E356" s="1"/>
      <c r="F356" s="1"/>
      <c r="G356" s="11" t="str">
        <f t="shared" si="36"/>
        <v/>
      </c>
      <c r="H356" s="11" t="str">
        <f t="shared" si="38"/>
        <v/>
      </c>
      <c r="K356"/>
      <c r="L356" s="21" t="str">
        <f t="shared" si="39"/>
        <v/>
      </c>
      <c r="U356" s="3" t="str">
        <f t="shared" si="40"/>
        <v/>
      </c>
      <c r="V356" s="4" t="str">
        <f t="shared" si="41"/>
        <v/>
      </c>
      <c r="W356" s="4" t="str">
        <f t="shared" si="42"/>
        <v/>
      </c>
      <c r="X356" t="str">
        <f t="shared" si="37"/>
        <v/>
      </c>
    </row>
    <row r="357" spans="3:24">
      <c r="C357" s="12"/>
      <c r="D357" s="1"/>
      <c r="E357" s="1"/>
      <c r="F357" s="1"/>
      <c r="G357" s="11" t="str">
        <f t="shared" si="36"/>
        <v/>
      </c>
      <c r="H357" s="11" t="str">
        <f t="shared" si="38"/>
        <v/>
      </c>
      <c r="K357"/>
      <c r="L357" s="21" t="str">
        <f t="shared" si="39"/>
        <v/>
      </c>
      <c r="U357" s="3" t="str">
        <f t="shared" si="40"/>
        <v/>
      </c>
      <c r="V357" s="4" t="str">
        <f t="shared" si="41"/>
        <v/>
      </c>
      <c r="W357" s="4" t="str">
        <f t="shared" si="42"/>
        <v/>
      </c>
      <c r="X357" t="str">
        <f t="shared" si="37"/>
        <v/>
      </c>
    </row>
    <row r="358" spans="3:24">
      <c r="C358" s="12"/>
      <c r="D358" s="1"/>
      <c r="E358" s="1"/>
      <c r="F358" s="1"/>
      <c r="G358" s="11" t="str">
        <f t="shared" si="36"/>
        <v/>
      </c>
      <c r="H358" s="11" t="str">
        <f t="shared" si="38"/>
        <v/>
      </c>
      <c r="K358"/>
      <c r="L358" s="21" t="str">
        <f t="shared" si="39"/>
        <v/>
      </c>
      <c r="U358" s="3" t="str">
        <f t="shared" si="40"/>
        <v/>
      </c>
      <c r="V358" s="4" t="str">
        <f t="shared" si="41"/>
        <v/>
      </c>
      <c r="W358" s="4" t="str">
        <f t="shared" si="42"/>
        <v/>
      </c>
      <c r="X358" t="str">
        <f t="shared" si="37"/>
        <v/>
      </c>
    </row>
    <row r="359" spans="3:24">
      <c r="C359" s="12"/>
      <c r="D359" s="1"/>
      <c r="E359" s="1"/>
      <c r="F359" s="1"/>
      <c r="G359" s="11" t="str">
        <f t="shared" si="36"/>
        <v/>
      </c>
      <c r="H359" s="11" t="str">
        <f t="shared" si="38"/>
        <v/>
      </c>
      <c r="K359"/>
      <c r="L359" s="21" t="str">
        <f t="shared" si="39"/>
        <v/>
      </c>
      <c r="U359" s="3" t="str">
        <f t="shared" si="40"/>
        <v/>
      </c>
      <c r="V359" s="4" t="str">
        <f t="shared" si="41"/>
        <v/>
      </c>
      <c r="W359" s="4" t="str">
        <f t="shared" si="42"/>
        <v/>
      </c>
      <c r="X359" t="str">
        <f t="shared" si="37"/>
        <v/>
      </c>
    </row>
    <row r="360" spans="3:24">
      <c r="C360" s="12"/>
      <c r="D360" s="1"/>
      <c r="E360" s="1"/>
      <c r="F360" s="1"/>
      <c r="G360" s="11" t="str">
        <f t="shared" si="36"/>
        <v/>
      </c>
      <c r="H360" s="11" t="str">
        <f t="shared" si="38"/>
        <v/>
      </c>
      <c r="K360"/>
      <c r="L360" s="21" t="str">
        <f t="shared" si="39"/>
        <v/>
      </c>
      <c r="U360" s="3" t="str">
        <f t="shared" si="40"/>
        <v/>
      </c>
      <c r="V360" s="4" t="str">
        <f t="shared" si="41"/>
        <v/>
      </c>
      <c r="W360" s="4" t="str">
        <f t="shared" si="42"/>
        <v/>
      </c>
      <c r="X360" t="str">
        <f t="shared" si="37"/>
        <v/>
      </c>
    </row>
    <row r="361" spans="3:24">
      <c r="C361" s="12"/>
      <c r="D361" s="1"/>
      <c r="E361" s="1"/>
      <c r="F361" s="1"/>
      <c r="G361" s="11" t="str">
        <f t="shared" si="36"/>
        <v/>
      </c>
      <c r="H361" s="11" t="str">
        <f t="shared" si="38"/>
        <v/>
      </c>
      <c r="K361"/>
      <c r="L361" s="21" t="str">
        <f t="shared" si="39"/>
        <v/>
      </c>
      <c r="U361" s="3" t="str">
        <f t="shared" si="40"/>
        <v/>
      </c>
      <c r="V361" s="4" t="str">
        <f t="shared" si="41"/>
        <v/>
      </c>
      <c r="W361" s="4" t="str">
        <f t="shared" si="42"/>
        <v/>
      </c>
      <c r="X361" t="str">
        <f t="shared" si="37"/>
        <v/>
      </c>
    </row>
    <row r="362" spans="3:24">
      <c r="C362" s="12"/>
      <c r="D362" s="1"/>
      <c r="E362" s="1"/>
      <c r="F362" s="1"/>
      <c r="G362" s="11" t="str">
        <f t="shared" si="36"/>
        <v/>
      </c>
      <c r="H362" s="11" t="str">
        <f t="shared" si="38"/>
        <v/>
      </c>
      <c r="K362"/>
      <c r="L362" s="21" t="str">
        <f t="shared" si="39"/>
        <v/>
      </c>
      <c r="U362" s="3" t="str">
        <f t="shared" si="40"/>
        <v/>
      </c>
      <c r="V362" s="4" t="str">
        <f t="shared" si="41"/>
        <v/>
      </c>
      <c r="W362" s="4" t="str">
        <f t="shared" si="42"/>
        <v/>
      </c>
      <c r="X362" t="str">
        <f t="shared" si="37"/>
        <v/>
      </c>
    </row>
    <row r="363" spans="3:24">
      <c r="C363" s="12"/>
      <c r="D363" s="1"/>
      <c r="E363" s="1"/>
      <c r="F363" s="1"/>
      <c r="G363" s="11" t="str">
        <f t="shared" si="36"/>
        <v/>
      </c>
      <c r="H363" s="11" t="str">
        <f t="shared" si="38"/>
        <v/>
      </c>
      <c r="K363"/>
      <c r="L363" s="21" t="str">
        <f t="shared" si="39"/>
        <v/>
      </c>
      <c r="U363" s="3" t="str">
        <f t="shared" si="40"/>
        <v/>
      </c>
      <c r="V363" s="4" t="str">
        <f t="shared" si="41"/>
        <v/>
      </c>
      <c r="W363" s="4" t="str">
        <f t="shared" si="42"/>
        <v/>
      </c>
      <c r="X363" t="str">
        <f t="shared" si="37"/>
        <v/>
      </c>
    </row>
    <row r="364" spans="3:24">
      <c r="C364" s="12"/>
      <c r="D364" s="1"/>
      <c r="E364" s="1"/>
      <c r="F364" s="1"/>
      <c r="G364" s="11" t="str">
        <f t="shared" si="36"/>
        <v/>
      </c>
      <c r="H364" s="11" t="str">
        <f t="shared" si="38"/>
        <v/>
      </c>
      <c r="K364"/>
      <c r="L364" s="21" t="str">
        <f t="shared" si="39"/>
        <v/>
      </c>
      <c r="U364" s="3" t="str">
        <f t="shared" si="40"/>
        <v/>
      </c>
      <c r="V364" s="4" t="str">
        <f t="shared" si="41"/>
        <v/>
      </c>
      <c r="W364" s="4" t="str">
        <f t="shared" si="42"/>
        <v/>
      </c>
      <c r="X364" t="str">
        <f t="shared" si="37"/>
        <v/>
      </c>
    </row>
    <row r="365" spans="3:24">
      <c r="C365" s="12"/>
      <c r="D365" s="1"/>
      <c r="E365" s="1"/>
      <c r="F365" s="1"/>
      <c r="G365" s="11" t="str">
        <f t="shared" si="36"/>
        <v/>
      </c>
      <c r="H365" s="11" t="str">
        <f t="shared" si="38"/>
        <v/>
      </c>
      <c r="K365"/>
      <c r="L365" s="21" t="str">
        <f t="shared" si="39"/>
        <v/>
      </c>
      <c r="U365" s="3" t="str">
        <f t="shared" si="40"/>
        <v/>
      </c>
      <c r="V365" s="4" t="str">
        <f t="shared" si="41"/>
        <v/>
      </c>
      <c r="W365" s="4" t="str">
        <f t="shared" si="42"/>
        <v/>
      </c>
      <c r="X365" t="str">
        <f t="shared" si="37"/>
        <v/>
      </c>
    </row>
    <row r="366" spans="3:24">
      <c r="C366" s="12"/>
      <c r="D366" s="1"/>
      <c r="E366" s="1"/>
      <c r="F366" s="1"/>
      <c r="G366" s="11" t="str">
        <f t="shared" si="36"/>
        <v/>
      </c>
      <c r="H366" s="11" t="str">
        <f t="shared" si="38"/>
        <v/>
      </c>
      <c r="K366"/>
      <c r="L366" s="21" t="str">
        <f t="shared" si="39"/>
        <v/>
      </c>
      <c r="U366" s="3" t="str">
        <f t="shared" si="40"/>
        <v/>
      </c>
      <c r="V366" s="4" t="str">
        <f t="shared" si="41"/>
        <v/>
      </c>
      <c r="W366" s="4" t="str">
        <f t="shared" si="42"/>
        <v/>
      </c>
      <c r="X366" t="str">
        <f t="shared" si="37"/>
        <v/>
      </c>
    </row>
    <row r="367" spans="3:24">
      <c r="C367" s="12"/>
      <c r="D367" s="1"/>
      <c r="E367" s="1"/>
      <c r="F367" s="1"/>
      <c r="G367" s="11" t="str">
        <f t="shared" si="36"/>
        <v/>
      </c>
      <c r="H367" s="11" t="str">
        <f t="shared" si="38"/>
        <v/>
      </c>
      <c r="K367"/>
      <c r="L367" s="21" t="str">
        <f t="shared" si="39"/>
        <v/>
      </c>
      <c r="U367" s="3" t="str">
        <f t="shared" si="40"/>
        <v/>
      </c>
      <c r="V367" s="4" t="str">
        <f t="shared" si="41"/>
        <v/>
      </c>
      <c r="W367" s="4" t="str">
        <f t="shared" si="42"/>
        <v/>
      </c>
      <c r="X367" t="str">
        <f t="shared" si="37"/>
        <v/>
      </c>
    </row>
    <row r="368" spans="3:24">
      <c r="C368" s="12"/>
      <c r="D368" s="1"/>
      <c r="E368" s="1"/>
      <c r="F368" s="1"/>
      <c r="G368" s="11" t="str">
        <f t="shared" si="36"/>
        <v/>
      </c>
      <c r="H368" s="11" t="str">
        <f t="shared" si="38"/>
        <v/>
      </c>
      <c r="K368"/>
      <c r="L368" s="21" t="str">
        <f t="shared" si="39"/>
        <v/>
      </c>
      <c r="U368" s="3" t="str">
        <f t="shared" si="40"/>
        <v/>
      </c>
      <c r="V368" s="4" t="str">
        <f t="shared" si="41"/>
        <v/>
      </c>
      <c r="W368" s="4" t="str">
        <f t="shared" si="42"/>
        <v/>
      </c>
      <c r="X368" t="str">
        <f t="shared" si="37"/>
        <v/>
      </c>
    </row>
    <row r="369" spans="11:23">
      <c r="K369"/>
      <c r="W369" s="4" t="str">
        <f t="shared" si="42"/>
        <v/>
      </c>
    </row>
  </sheetData>
  <conditionalFormatting sqref="R2:R3">
    <cfRule type="colorScale" priority="6">
      <colorScale>
        <cfvo type="num" val="0"/>
        <cfvo type="num" val="480"/>
        <cfvo type="num" val="800"/>
        <color rgb="FF00B050"/>
        <color rgb="FFFFEB84"/>
        <color rgb="FFFF7C80"/>
      </colorScale>
    </cfRule>
  </conditionalFormatting>
  <conditionalFormatting sqref="F10:F368">
    <cfRule type="cellIs" dxfId="5" priority="3" operator="greaterThan">
      <formula>148</formula>
    </cfRule>
  </conditionalFormatting>
  <conditionalFormatting sqref="E10:E368">
    <cfRule type="cellIs" dxfId="4" priority="2" operator="greaterThan">
      <formula>170</formula>
    </cfRule>
  </conditionalFormatting>
  <conditionalFormatting sqref="H2:H368">
    <cfRule type="colorScale" priority="7">
      <colorScale>
        <cfvo type="min"/>
        <cfvo type="max"/>
        <color theme="0"/>
        <color rgb="FFFF4B4B"/>
      </colorScale>
    </cfRule>
  </conditionalFormatting>
  <conditionalFormatting sqref="A2:G368 I2:L368">
    <cfRule type="expression" dxfId="3" priority="1">
      <formula>WEEKDAY($A2, 2) = 1</formula>
    </cfRule>
  </conditionalFormatting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8F081-8C01-4396-AB4D-BA06D24E453C}">
  <sheetPr codeName="Sheet2"/>
  <dimension ref="A1:E368"/>
  <sheetViews>
    <sheetView workbookViewId="0">
      <selection activeCell="L4" sqref="L4"/>
    </sheetView>
  </sheetViews>
  <sheetFormatPr defaultRowHeight="15"/>
  <cols>
    <col min="1" max="1" width="6.140625" customWidth="1"/>
    <col min="2" max="2" width="17.28515625" customWidth="1"/>
    <col min="3" max="3" width="11.42578125" customWidth="1"/>
    <col min="4" max="4" width="9.28515625" bestFit="1" customWidth="1"/>
  </cols>
  <sheetData>
    <row r="1" spans="1:5">
      <c r="A1" s="10" t="s">
        <v>35</v>
      </c>
      <c r="B1" s="10" t="s">
        <v>34</v>
      </c>
      <c r="C1" s="10" t="s">
        <v>29</v>
      </c>
      <c r="D1" s="10" t="s">
        <v>11</v>
      </c>
      <c r="E1" s="10" t="s">
        <v>23</v>
      </c>
    </row>
    <row r="2" spans="1:5">
      <c r="A2">
        <v>23</v>
      </c>
      <c r="B2" t="s">
        <v>36</v>
      </c>
      <c r="C2" s="16">
        <f>IFERROR(IF(ISBLANK('2024'!A2), C1,INDEX('2024'!$A$2:$A$369, MATCH(A2, '2024'!$B$2:$B$369, 0)) - WEEKDAY(INDEX('2024'!$A$2:$A$369, MATCH(A2, '2024'!$B$2:$B$369, 0)), 2) + 1), "")</f>
        <v>45495</v>
      </c>
      <c r="D2" s="15">
        <f>IF(C2="","",IF(C2=C1, "", SUMIFS('2024'!D:D,C:C, C2)))</f>
        <v>48.17</v>
      </c>
      <c r="E2" s="3">
        <f>IF(C2="","",IF(C2=C1, "", SUMIFS('2024'!U:U,C:C, C2)))</f>
        <v>0.16739583333333333</v>
      </c>
    </row>
    <row r="3" spans="1:5">
      <c r="A3">
        <v>24</v>
      </c>
      <c r="B3" t="s">
        <v>37</v>
      </c>
      <c r="C3" s="16">
        <f>IFERROR(IF(ISBLANK('2024'!A3), C2,INDEX('2024'!$A$2:$A$369, MATCH(A3, '2024'!$B$2:$B$369, 0)) - WEEKDAY(INDEX('2024'!$A$2:$A$369, MATCH(A3, '2024'!$B$2:$B$369, 0)), 2) + 1), "")</f>
        <v>45495</v>
      </c>
      <c r="D3" s="15" t="str">
        <f>IF(C3="","",IF(C3=C2, "", SUMIFS('2024'!D:D,C:C, C3)))</f>
        <v/>
      </c>
      <c r="E3" s="3" t="str">
        <f>IF(C3="","",IF(C3=C2, "", SUMIFS('2024'!U:U,C:C, C3)))</f>
        <v/>
      </c>
    </row>
    <row r="4" spans="1:5">
      <c r="A4">
        <v>25</v>
      </c>
      <c r="C4" s="16">
        <f>IFERROR(IF(ISBLANK('2024'!A4), C3,INDEX('2024'!$A$2:$A$369, MATCH(A4, '2024'!$B$2:$B$369, 0)) - WEEKDAY(INDEX('2024'!$A$2:$A$369, MATCH(A4, '2024'!$B$2:$B$369, 0)), 2) + 1), "")</f>
        <v>45495</v>
      </c>
      <c r="D4" s="15" t="str">
        <f>IF(C4="","",IF(C4=C3, "", SUMIFS('2024'!D:D,C:C, C4)))</f>
        <v/>
      </c>
      <c r="E4" s="3" t="str">
        <f>IF(C4="","",IF(C4=C3, "", SUMIFS('2024'!U:U,C:C, C4)))</f>
        <v/>
      </c>
    </row>
    <row r="5" spans="1:5">
      <c r="A5">
        <v>26</v>
      </c>
      <c r="B5" t="s">
        <v>38</v>
      </c>
      <c r="C5" s="16">
        <f>IFERROR(IF(ISBLANK('2024'!A5), C4,INDEX('2024'!$A$2:$A$369, MATCH(A5, '2024'!$B$2:$B$369, 0)) - WEEKDAY(INDEX('2024'!$A$2:$A$369, MATCH(A5, '2024'!$B$2:$B$369, 0)), 2) + 1), "")</f>
        <v>45495</v>
      </c>
      <c r="D5" s="15" t="str">
        <f>IF(C5="","",IF(C5=C4, "", SUMIFS('2024'!D:D,C:C, C5)))</f>
        <v/>
      </c>
      <c r="E5" s="3" t="str">
        <f>IF(C5="","",IF(C5=C4, "", SUMIFS('2024'!U:U,C:C, C5)))</f>
        <v/>
      </c>
    </row>
    <row r="6" spans="1:5">
      <c r="A6">
        <v>27</v>
      </c>
      <c r="B6" t="s">
        <v>39</v>
      </c>
      <c r="C6" s="16">
        <f>IFERROR(IF(ISBLANK('2024'!A6), C5,INDEX('2024'!$A$2:$A$369, MATCH(A6, '2024'!$B$2:$B$369, 0)) - WEEKDAY(INDEX('2024'!$A$2:$A$369, MATCH(A6, '2024'!$B$2:$B$369, 0)), 2) + 1), "")</f>
        <v>45495</v>
      </c>
      <c r="D6" s="15" t="str">
        <f>IF(C6="","",IF(C6=C5, "", SUMIFS('2024'!D:D,C:C, C6)))</f>
        <v/>
      </c>
      <c r="E6" s="3" t="str">
        <f>IF(C6="","",IF(C6=C5, "", SUMIFS('2024'!U:U,C:C, C6)))</f>
        <v/>
      </c>
    </row>
    <row r="7" spans="1:5">
      <c r="A7">
        <v>28</v>
      </c>
      <c r="B7" t="s">
        <v>42</v>
      </c>
      <c r="C7" s="16">
        <f>IFERROR(IF(ISBLANK('2024'!A7), C6,INDEX('2024'!$A$2:$A$369, MATCH(A7, '2024'!$B$2:$B$369, 0)) - WEEKDAY(INDEX('2024'!$A$2:$A$369, MATCH(A7, '2024'!$B$2:$B$369, 0)), 2) + 1), "")</f>
        <v>45509</v>
      </c>
      <c r="D7" s="15">
        <f>IF(C7="","",IF(C7=C6, "", SUMIFS('2024'!D:D,C:C, C7)))</f>
        <v>12.01</v>
      </c>
      <c r="E7" s="3">
        <f>IF(C7="","",IF(C7=C6, "", SUMIFS('2024'!U:U,C:C, C7)))</f>
        <v>4.0381944444444443E-2</v>
      </c>
    </row>
    <row r="8" spans="1:5">
      <c r="A8">
        <v>29</v>
      </c>
      <c r="C8" s="16" t="str">
        <f>IFERROR(IF(ISBLANK('2024'!A8), C7,INDEX('2024'!$A$2:$A$369, MATCH(A8, '2024'!$B$2:$B$369, 0)) - WEEKDAY(INDEX('2024'!$A$2:$A$369, MATCH(A8, '2024'!$B$2:$B$369, 0)), 2) + 1), "")</f>
        <v/>
      </c>
      <c r="D8" s="15" t="str">
        <f>IF(C8="","",IF(C8=C7, "", SUMIFS('2024'!D:D,C:C, C8)))</f>
        <v/>
      </c>
      <c r="E8" s="3" t="str">
        <f>IF(C8="","",IF(C8=C7, "", SUMIFS('2024'!U:U,C:C, C8)))</f>
        <v/>
      </c>
    </row>
    <row r="9" spans="1:5">
      <c r="A9">
        <v>30</v>
      </c>
      <c r="C9" s="16" t="str">
        <f>IFERROR(IF(ISBLANK('2024'!A9), C8,INDEX('2024'!$A$2:$A$369, MATCH(A9, '2024'!$B$2:$B$369, 0)) - WEEKDAY(INDEX('2024'!$A$2:$A$369, MATCH(A9, '2024'!$B$2:$B$369, 0)), 2) + 1), "")</f>
        <v/>
      </c>
      <c r="D9" s="15" t="str">
        <f>IF(C9="","",IF(C9=C8, "", SUMIFS('2024'!D:D,C:C, C9)))</f>
        <v/>
      </c>
      <c r="E9" s="3" t="str">
        <f>IF(C9="","",IF(C9=C8, "", SUMIFS('2024'!U:U,C:C, C9)))</f>
        <v/>
      </c>
    </row>
    <row r="10" spans="1:5">
      <c r="A10">
        <v>31</v>
      </c>
      <c r="C10" s="16" t="str">
        <f>IFERROR(IF(ISBLANK('2024'!A10), C9,INDEX('2024'!$A$2:$A$369, MATCH(A10, '2024'!$B$2:$B$369, 0)) - WEEKDAY(INDEX('2024'!$A$2:$A$369, MATCH(A10, '2024'!$B$2:$B$369, 0)), 2) + 1), "")</f>
        <v/>
      </c>
      <c r="D10" s="15" t="str">
        <f>IF(C10="","",IF(C10=C9, "", SUMIFS('2024'!D:D,C:C, C10)))</f>
        <v/>
      </c>
      <c r="E10" s="3" t="str">
        <f>IF(C10="","",IF(C10=C9, "", SUMIFS('2024'!U:U,C:C, C10)))</f>
        <v/>
      </c>
    </row>
    <row r="11" spans="1:5">
      <c r="A11">
        <v>32</v>
      </c>
      <c r="C11" s="16" t="str">
        <f>IFERROR(IF(ISBLANK('2024'!A11), C10,INDEX('2024'!$A$2:$A$369, MATCH(A11, '2024'!$B$2:$B$369, 0)) - WEEKDAY(INDEX('2024'!$A$2:$A$369, MATCH(A11, '2024'!$B$2:$B$369, 0)), 2) + 1), "")</f>
        <v/>
      </c>
      <c r="D11" s="15" t="str">
        <f>IF(C11="","",IF(C11=C10, "", SUMIFS('2024'!D:D,C:C, C11)))</f>
        <v/>
      </c>
      <c r="E11" s="3" t="str">
        <f>IF(C11="","",IF(C11=C10, "", SUMIFS('2024'!U:U,C:C, C11)))</f>
        <v/>
      </c>
    </row>
    <row r="12" spans="1:5">
      <c r="A12">
        <v>33</v>
      </c>
      <c r="C12" s="16" t="str">
        <f>IFERROR(IF(ISBLANK('2024'!A12), C11,INDEX('2024'!$A$2:$A$369, MATCH(A12, '2024'!$B$2:$B$369, 0)) - WEEKDAY(INDEX('2024'!$A$2:$A$369, MATCH(A12, '2024'!$B$2:$B$369, 0)), 2) + 1), "")</f>
        <v/>
      </c>
      <c r="D12" s="15" t="str">
        <f>IF(C12="","",IF(C12=C11, "", SUMIFS('2024'!D:D,C:C, C12)))</f>
        <v/>
      </c>
      <c r="E12" s="3" t="str">
        <f>IF(C12="","",IF(C12=C11, "", SUMIFS('2024'!U:U,C:C, C12)))</f>
        <v/>
      </c>
    </row>
    <row r="13" spans="1:5">
      <c r="A13">
        <v>34</v>
      </c>
      <c r="C13" s="16" t="str">
        <f>IFERROR(IF(ISBLANK('2024'!A13), C12,INDEX('2024'!$A$2:$A$369, MATCH(A13, '2024'!$B$2:$B$369, 0)) - WEEKDAY(INDEX('2024'!$A$2:$A$369, MATCH(A13, '2024'!$B$2:$B$369, 0)), 2) + 1), "")</f>
        <v/>
      </c>
      <c r="D13" s="15" t="str">
        <f>IF(C13="","",IF(C13=C12, "", SUMIFS('2024'!D:D,C:C, C13)))</f>
        <v/>
      </c>
      <c r="E13" s="3" t="str">
        <f>IF(C13="","",IF(C13=C12, "", SUMIFS('2024'!U:U,C:C, C13)))</f>
        <v/>
      </c>
    </row>
    <row r="14" spans="1:5">
      <c r="A14">
        <v>35</v>
      </c>
      <c r="C14" s="16" t="str">
        <f>IFERROR(IF(ISBLANK('2024'!A14), C13,INDEX('2024'!$A$2:$A$369, MATCH(A14, '2024'!$B$2:$B$369, 0)) - WEEKDAY(INDEX('2024'!$A$2:$A$369, MATCH(A14, '2024'!$B$2:$B$369, 0)), 2) + 1), "")</f>
        <v/>
      </c>
      <c r="D14" s="15" t="str">
        <f>IF(C14="","",IF(C14=C13, "", SUMIFS('2024'!D:D,C:C, C14)))</f>
        <v/>
      </c>
      <c r="E14" s="3" t="str">
        <f>IF(C14="","",IF(C14=C13, "", SUMIFS('2024'!U:U,C:C, C14)))</f>
        <v/>
      </c>
    </row>
    <row r="15" spans="1:5">
      <c r="A15">
        <v>36</v>
      </c>
      <c r="C15" s="16" t="str">
        <f>IFERROR(IF(ISBLANK('2024'!A15), C14,INDEX('2024'!$A$2:$A$369, MATCH(A15, '2024'!$B$2:$B$369, 0)) - WEEKDAY(INDEX('2024'!$A$2:$A$369, MATCH(A15, '2024'!$B$2:$B$369, 0)), 2) + 1), "")</f>
        <v/>
      </c>
      <c r="D15" s="15" t="str">
        <f>IF(C15="","",IF(C15=C14, "", SUMIFS('2024'!D:D,C:C, C15)))</f>
        <v/>
      </c>
      <c r="E15" s="3" t="str">
        <f>IF(C15="","",IF(C15=C14, "", SUMIFS('2024'!U:U,C:C, C15)))</f>
        <v/>
      </c>
    </row>
    <row r="16" spans="1:5">
      <c r="A16">
        <v>37</v>
      </c>
      <c r="C16" s="16" t="str">
        <f>IFERROR(IF(ISBLANK('2024'!A16), C15,INDEX('2024'!$A$2:$A$369, MATCH(A16, '2024'!$B$2:$B$369, 0)) - WEEKDAY(INDEX('2024'!$A$2:$A$369, MATCH(A16, '2024'!$B$2:$B$369, 0)), 2) + 1), "")</f>
        <v/>
      </c>
      <c r="D16" s="15" t="str">
        <f>IF(C16="","",IF(C16=C15, "", SUMIFS('2024'!D:D,C:C, C16)))</f>
        <v/>
      </c>
      <c r="E16" s="3" t="str">
        <f>IF(C16="","",IF(C16=C15, "", SUMIFS('2024'!U:U,C:C, C16)))</f>
        <v/>
      </c>
    </row>
    <row r="17" spans="1:5">
      <c r="A17">
        <v>38</v>
      </c>
      <c r="C17" s="16" t="str">
        <f>IFERROR(IF(ISBLANK('2024'!A17), C16,INDEX('2024'!$A$2:$A$369, MATCH(A17, '2024'!$B$2:$B$369, 0)) - WEEKDAY(INDEX('2024'!$A$2:$A$369, MATCH(A17, '2024'!$B$2:$B$369, 0)), 2) + 1), "")</f>
        <v/>
      </c>
      <c r="D17" s="15" t="str">
        <f>IF(C17="","",IF(C17=C16, "", SUMIFS('2024'!D:D,C:C, C17)))</f>
        <v/>
      </c>
      <c r="E17" s="3" t="str">
        <f>IF(C17="","",IF(C17=C16, "", SUMIFS('2024'!U:U,C:C, C17)))</f>
        <v/>
      </c>
    </row>
    <row r="18" spans="1:5">
      <c r="A18">
        <v>39</v>
      </c>
      <c r="C18" s="16" t="str">
        <f>IFERROR(IF(ISBLANK('2024'!A18), C17,INDEX('2024'!$A$2:$A$369, MATCH(A18, '2024'!$B$2:$B$369, 0)) - WEEKDAY(INDEX('2024'!$A$2:$A$369, MATCH(A18, '2024'!$B$2:$B$369, 0)), 2) + 1), "")</f>
        <v/>
      </c>
      <c r="D18" s="15" t="str">
        <f>IF(C18="","",IF(C18=C17, "", SUMIFS('2024'!D:D,C:C, C18)))</f>
        <v/>
      </c>
      <c r="E18" s="3" t="str">
        <f>IF(C18="","",IF(C18=C17, "", SUMIFS('2024'!U:U,C:C, C18)))</f>
        <v/>
      </c>
    </row>
    <row r="19" spans="1:5">
      <c r="A19">
        <v>40</v>
      </c>
      <c r="C19" s="16" t="str">
        <f>IFERROR(IF(ISBLANK('2024'!A19), C18,INDEX('2024'!$A$2:$A$369, MATCH(A19, '2024'!$B$2:$B$369, 0)) - WEEKDAY(INDEX('2024'!$A$2:$A$369, MATCH(A19, '2024'!$B$2:$B$369, 0)), 2) + 1), "")</f>
        <v/>
      </c>
      <c r="D19" s="15" t="str">
        <f>IF(C19="","",IF(C19=C18, "", SUMIFS('2024'!D:D,C:C, C19)))</f>
        <v/>
      </c>
      <c r="E19" s="3" t="str">
        <f>IF(C19="","",IF(C19=C18, "", SUMIFS('2024'!U:U,C:C, C19)))</f>
        <v/>
      </c>
    </row>
    <row r="20" spans="1:5">
      <c r="A20">
        <v>41</v>
      </c>
      <c r="C20" s="16" t="str">
        <f>IFERROR(IF(ISBLANK('2024'!A20), C19,INDEX('2024'!$A$2:$A$369, MATCH(A20, '2024'!$B$2:$B$369, 0)) - WEEKDAY(INDEX('2024'!$A$2:$A$369, MATCH(A20, '2024'!$B$2:$B$369, 0)), 2) + 1), "")</f>
        <v/>
      </c>
      <c r="D20" s="15" t="str">
        <f>IF(C20="","",IF(C20=C19, "", SUMIFS('2024'!D:D,C:C, C20)))</f>
        <v/>
      </c>
      <c r="E20" s="3" t="str">
        <f>IF(C20="","",IF(C20=C19, "", SUMIFS('2024'!U:U,C:C, C20)))</f>
        <v/>
      </c>
    </row>
    <row r="21" spans="1:5">
      <c r="A21">
        <v>42</v>
      </c>
      <c r="C21" s="16" t="str">
        <f>IFERROR(IF(ISBLANK('2024'!A21), C20,INDEX('2024'!$A$2:$A$369, MATCH(A21, '2024'!$B$2:$B$369, 0)) - WEEKDAY(INDEX('2024'!$A$2:$A$369, MATCH(A21, '2024'!$B$2:$B$369, 0)), 2) + 1), "")</f>
        <v/>
      </c>
      <c r="D21" s="15" t="str">
        <f>IF(C21="","",IF(C21=C20, "", SUMIFS('2024'!D:D,C:C, C21)))</f>
        <v/>
      </c>
      <c r="E21" s="3" t="str">
        <f>IF(C21="","",IF(C21=C20, "", SUMIFS('2024'!U:U,C:C, C21)))</f>
        <v/>
      </c>
    </row>
    <row r="22" spans="1:5">
      <c r="A22">
        <v>43</v>
      </c>
      <c r="C22" s="16" t="str">
        <f>IFERROR(IF(ISBLANK('2024'!A22), C21,INDEX('2024'!$A$2:$A$369, MATCH(A22, '2024'!$B$2:$B$369, 0)) - WEEKDAY(INDEX('2024'!$A$2:$A$369, MATCH(A22, '2024'!$B$2:$B$369, 0)), 2) + 1), "")</f>
        <v/>
      </c>
      <c r="D22" s="15" t="str">
        <f>IF(C22="","",IF(C22=C21, "", SUMIFS('2024'!D:D,C:C, C22)))</f>
        <v/>
      </c>
      <c r="E22" s="3" t="str">
        <f>IF(C22="","",IF(C22=C21, "", SUMIFS('2024'!U:U,C:C, C22)))</f>
        <v/>
      </c>
    </row>
    <row r="23" spans="1:5">
      <c r="A23">
        <v>44</v>
      </c>
      <c r="C23" s="16" t="str">
        <f>IFERROR(IF(ISBLANK('2024'!A23), C22,INDEX('2024'!$A$2:$A$369, MATCH(A23, '2024'!$B$2:$B$369, 0)) - WEEKDAY(INDEX('2024'!$A$2:$A$369, MATCH(A23, '2024'!$B$2:$B$369, 0)), 2) + 1), "")</f>
        <v/>
      </c>
      <c r="D23" s="15" t="str">
        <f>IF(C23="","",IF(C23=C22, "", SUMIFS('2024'!D:D,C:C, C23)))</f>
        <v/>
      </c>
      <c r="E23" s="3" t="str">
        <f>IF(C23="","",IF(C23=C22, "", SUMIFS('2024'!U:U,C:C, C23)))</f>
        <v/>
      </c>
    </row>
    <row r="24" spans="1:5">
      <c r="A24">
        <v>45</v>
      </c>
      <c r="C24" s="16" t="str">
        <f>IFERROR(IF(ISBLANK('2024'!A24), C23,INDEX('2024'!$A$2:$A$369, MATCH(A24, '2024'!$B$2:$B$369, 0)) - WEEKDAY(INDEX('2024'!$A$2:$A$369, MATCH(A24, '2024'!$B$2:$B$369, 0)), 2) + 1), "")</f>
        <v/>
      </c>
      <c r="D24" s="15" t="str">
        <f>IF(C24="","",IF(C24=C23, "", SUMIFS('2024'!D:D,C:C, C24)))</f>
        <v/>
      </c>
      <c r="E24" s="3" t="str">
        <f>IF(C24="","",IF(C24=C23, "", SUMIFS('2024'!U:U,C:C, C24)))</f>
        <v/>
      </c>
    </row>
    <row r="25" spans="1:5">
      <c r="A25">
        <v>46</v>
      </c>
      <c r="C25" s="16" t="str">
        <f>IFERROR(IF(ISBLANK('2024'!A25), C24,INDEX('2024'!$A$2:$A$369, MATCH(A25, '2024'!$B$2:$B$369, 0)) - WEEKDAY(INDEX('2024'!$A$2:$A$369, MATCH(A25, '2024'!$B$2:$B$369, 0)), 2) + 1), "")</f>
        <v/>
      </c>
      <c r="D25" s="15" t="str">
        <f>IF(C25="","",IF(C25=C24, "", SUMIFS('2024'!D:D,C:C, C25)))</f>
        <v/>
      </c>
      <c r="E25" s="3" t="str">
        <f>IF(C25="","",IF(C25=C24, "", SUMIFS('2024'!U:U,C:C, C25)))</f>
        <v/>
      </c>
    </row>
    <row r="26" spans="1:5">
      <c r="A26">
        <v>47</v>
      </c>
      <c r="C26" s="16" t="str">
        <f>IFERROR(IF(ISBLANK('2024'!A26), C25,INDEX('2024'!$A$2:$A$369, MATCH(A26, '2024'!$B$2:$B$369, 0)) - WEEKDAY(INDEX('2024'!$A$2:$A$369, MATCH(A26, '2024'!$B$2:$B$369, 0)), 2) + 1), "")</f>
        <v/>
      </c>
      <c r="D26" s="15" t="str">
        <f>IF(C26="","",IF(C26=C25, "", SUMIFS('2024'!D:D,C:C, C26)))</f>
        <v/>
      </c>
      <c r="E26" s="3" t="str">
        <f>IF(C26="","",IF(C26=C25, "", SUMIFS('2024'!U:U,C:C, C26)))</f>
        <v/>
      </c>
    </row>
    <row r="27" spans="1:5">
      <c r="A27">
        <v>48</v>
      </c>
      <c r="C27" s="16" t="str">
        <f>IFERROR(IF(ISBLANK('2024'!A27), C26,INDEX('2024'!$A$2:$A$369, MATCH(A27, '2024'!$B$2:$B$369, 0)) - WEEKDAY(INDEX('2024'!$A$2:$A$369, MATCH(A27, '2024'!$B$2:$B$369, 0)), 2) + 1), "")</f>
        <v/>
      </c>
      <c r="D27" s="15" t="str">
        <f>IF(C27="","",IF(C27=C26, "", SUMIFS('2024'!D:D,C:C, C27)))</f>
        <v/>
      </c>
      <c r="E27" s="3" t="str">
        <f>IF(C27="","",IF(C27=C26, "", SUMIFS('2024'!U:U,C:C, C27)))</f>
        <v/>
      </c>
    </row>
    <row r="28" spans="1:5">
      <c r="A28">
        <v>49</v>
      </c>
      <c r="C28" s="16" t="str">
        <f>IFERROR(IF(ISBLANK('2024'!A28), C27,INDEX('2024'!$A$2:$A$369, MATCH(A28, '2024'!$B$2:$B$369, 0)) - WEEKDAY(INDEX('2024'!$A$2:$A$369, MATCH(A28, '2024'!$B$2:$B$369, 0)), 2) + 1), "")</f>
        <v/>
      </c>
      <c r="D28" s="15" t="str">
        <f>IF(C28="","",IF(C28=C27, "", SUMIFS('2024'!D:D,C:C, C28)))</f>
        <v/>
      </c>
      <c r="E28" s="3" t="str">
        <f>IF(C28="","",IF(C28=C27, "", SUMIFS('2024'!U:U,C:C, C28)))</f>
        <v/>
      </c>
    </row>
    <row r="29" spans="1:5">
      <c r="A29">
        <v>50</v>
      </c>
      <c r="C29" s="16" t="str">
        <f>IFERROR(IF(ISBLANK('2024'!A29), C28,INDEX('2024'!$A$2:$A$369, MATCH(A29, '2024'!$B$2:$B$369, 0)) - WEEKDAY(INDEX('2024'!$A$2:$A$369, MATCH(A29, '2024'!$B$2:$B$369, 0)), 2) + 1), "")</f>
        <v/>
      </c>
      <c r="D29" s="15" t="str">
        <f>IF(C29="","",IF(C29=C28, "", SUMIFS('2024'!D:D,C:C, C29)))</f>
        <v/>
      </c>
      <c r="E29" s="3" t="str">
        <f>IF(C29="","",IF(C29=C28, "", SUMIFS('2024'!U:U,C:C, C29)))</f>
        <v/>
      </c>
    </row>
    <row r="30" spans="1:5">
      <c r="A30">
        <v>51</v>
      </c>
      <c r="C30" s="16" t="str">
        <f>IFERROR(IF(ISBLANK('2024'!A30), C29,INDEX('2024'!$A$2:$A$369, MATCH(A30, '2024'!$B$2:$B$369, 0)) - WEEKDAY(INDEX('2024'!$A$2:$A$369, MATCH(A30, '2024'!$B$2:$B$369, 0)), 2) + 1), "")</f>
        <v/>
      </c>
      <c r="D30" s="15" t="str">
        <f>IF(C30="","",IF(C30=C29, "", SUMIFS('2024'!D:D,C:C, C30)))</f>
        <v/>
      </c>
      <c r="E30" s="3" t="str">
        <f>IF(C30="","",IF(C30=C29, "", SUMIFS('2024'!U:U,C:C, C30)))</f>
        <v/>
      </c>
    </row>
    <row r="31" spans="1:5">
      <c r="A31">
        <v>52</v>
      </c>
      <c r="C31" s="16" t="str">
        <f>IFERROR(IF(ISBLANK('2024'!A31), C30,INDEX('2024'!$A$2:$A$369, MATCH(A31, '2024'!$B$2:$B$369, 0)) - WEEKDAY(INDEX('2024'!$A$2:$A$369, MATCH(A31, '2024'!$B$2:$B$369, 0)), 2) + 1), "")</f>
        <v/>
      </c>
      <c r="D31" s="15" t="str">
        <f>IF(C31="","",IF(C31=C30, "", SUMIFS('2024'!D:D,C:C, C31)))</f>
        <v/>
      </c>
      <c r="E31" s="3" t="str">
        <f>IF(C31="","",IF(C31=C30, "", SUMIFS('2024'!U:U,C:C, C31)))</f>
        <v/>
      </c>
    </row>
    <row r="32" spans="1:5">
      <c r="A32">
        <v>53</v>
      </c>
      <c r="C32" s="16" t="str">
        <f>IFERROR(IF(ISBLANK('2024'!A32), C31,INDEX('2024'!$A$2:$A$369, MATCH(A32, '2024'!$B$2:$B$369, 0)) - WEEKDAY(INDEX('2024'!$A$2:$A$369, MATCH(A32, '2024'!$B$2:$B$369, 0)), 2) + 1), "")</f>
        <v/>
      </c>
      <c r="D32" s="15" t="str">
        <f>IF(C32="","",IF(C32=C31, "", SUMIFS('2024'!D:D,C:C, C32)))</f>
        <v/>
      </c>
      <c r="E32" s="3" t="str">
        <f>IF(C32="","",IF(C32=C31, "", SUMIFS('2024'!U:U,C:C, C32)))</f>
        <v/>
      </c>
    </row>
    <row r="33" spans="1:5">
      <c r="A33">
        <v>54</v>
      </c>
      <c r="C33" s="16" t="str">
        <f>IFERROR(IF(ISBLANK('2024'!A33), C32,INDEX('2024'!$A$2:$A$369, MATCH(A33, '2024'!$B$2:$B$369, 0)) - WEEKDAY(INDEX('2024'!$A$2:$A$369, MATCH(A33, '2024'!$B$2:$B$369, 0)), 2) + 1), "")</f>
        <v/>
      </c>
      <c r="D33" s="15" t="str">
        <f>IF(C33="","",IF(C33=C32, "", SUMIFS('2024'!D:D,C:C, C33)))</f>
        <v/>
      </c>
      <c r="E33" s="3" t="str">
        <f>IF(C33="","",IF(C33=C32, "", SUMIFS('2024'!U:U,C:C, C33)))</f>
        <v/>
      </c>
    </row>
    <row r="34" spans="1:5">
      <c r="A34">
        <v>55</v>
      </c>
      <c r="C34" s="16" t="str">
        <f>IFERROR(IF(ISBLANK('2024'!A34), C33,INDEX('2024'!$A$2:$A$369, MATCH(A34, '2024'!$B$2:$B$369, 0)) - WEEKDAY(INDEX('2024'!$A$2:$A$369, MATCH(A34, '2024'!$B$2:$B$369, 0)), 2) + 1), "")</f>
        <v/>
      </c>
      <c r="D34" s="15" t="str">
        <f>IF(C34="","",IF(C34=C33, "", SUMIFS('2024'!D:D,C:C, C34)))</f>
        <v/>
      </c>
      <c r="E34" s="3" t="str">
        <f>IF(C34="","",IF(C34=C33, "", SUMIFS('2024'!U:U,C:C, C34)))</f>
        <v/>
      </c>
    </row>
    <row r="35" spans="1:5">
      <c r="A35">
        <v>56</v>
      </c>
      <c r="C35" s="16" t="str">
        <f>IFERROR(IF(ISBLANK('2024'!A35), C34,INDEX('2024'!$A$2:$A$369, MATCH(A35, '2024'!$B$2:$B$369, 0)) - WEEKDAY(INDEX('2024'!$A$2:$A$369, MATCH(A35, '2024'!$B$2:$B$369, 0)), 2) + 1), "")</f>
        <v/>
      </c>
      <c r="D35" s="15" t="str">
        <f>IF(C35="","",IF(C35=C34, "", SUMIFS('2024'!D:D,C:C, C35)))</f>
        <v/>
      </c>
      <c r="E35" s="3" t="str">
        <f>IF(C35="","",IF(C35=C34, "", SUMIFS('2024'!U:U,C:C, C35)))</f>
        <v/>
      </c>
    </row>
    <row r="36" spans="1:5">
      <c r="A36">
        <v>57</v>
      </c>
      <c r="C36" s="16" t="str">
        <f>IFERROR(IF(ISBLANK('2024'!A36), C35,INDEX('2024'!$A$2:$A$369, MATCH(A36, '2024'!$B$2:$B$369, 0)) - WEEKDAY(INDEX('2024'!$A$2:$A$369, MATCH(A36, '2024'!$B$2:$B$369, 0)), 2) + 1), "")</f>
        <v/>
      </c>
      <c r="D36" s="15" t="str">
        <f>IF(C36="","",IF(C36=C35, "", SUMIFS('2024'!D:D,C:C, C36)))</f>
        <v/>
      </c>
      <c r="E36" s="3" t="str">
        <f>IF(C36="","",IF(C36=C35, "", SUMIFS('2024'!U:U,C:C, C36)))</f>
        <v/>
      </c>
    </row>
    <row r="37" spans="1:5">
      <c r="A37">
        <v>58</v>
      </c>
      <c r="C37" s="16" t="str">
        <f>IFERROR(IF(ISBLANK('2024'!A37), C36,INDEX('2024'!$A$2:$A$369, MATCH(A37, '2024'!$B$2:$B$369, 0)) - WEEKDAY(INDEX('2024'!$A$2:$A$369, MATCH(A37, '2024'!$B$2:$B$369, 0)), 2) + 1), "")</f>
        <v/>
      </c>
      <c r="D37" s="15" t="str">
        <f>IF(C37="","",IF(C37=C36, "", SUMIFS('2024'!D:D,C:C, C37)))</f>
        <v/>
      </c>
      <c r="E37" s="3" t="str">
        <f>IF(C37="","",IF(C37=C36, "", SUMIFS('2024'!U:U,C:C, C37)))</f>
        <v/>
      </c>
    </row>
    <row r="38" spans="1:5">
      <c r="A38">
        <v>59</v>
      </c>
      <c r="C38" s="16" t="str">
        <f>IFERROR(IF(ISBLANK('2024'!A38), C37,INDEX('2024'!$A$2:$A$369, MATCH(A38, '2024'!$B$2:$B$369, 0)) - WEEKDAY(INDEX('2024'!$A$2:$A$369, MATCH(A38, '2024'!$B$2:$B$369, 0)), 2) + 1), "")</f>
        <v/>
      </c>
      <c r="D38" s="15" t="str">
        <f>IF(C38="","",IF(C38=C37, "", SUMIFS('2024'!D:D,C:C, C38)))</f>
        <v/>
      </c>
      <c r="E38" s="3" t="str">
        <f>IF(C38="","",IF(C38=C37, "", SUMIFS('2024'!U:U,C:C, C38)))</f>
        <v/>
      </c>
    </row>
    <row r="39" spans="1:5">
      <c r="A39">
        <v>60</v>
      </c>
      <c r="C39" s="16" t="str">
        <f>IFERROR(IF(ISBLANK('2024'!A39), C38,INDEX('2024'!$A$2:$A$369, MATCH(A39, '2024'!$B$2:$B$369, 0)) - WEEKDAY(INDEX('2024'!$A$2:$A$369, MATCH(A39, '2024'!$B$2:$B$369, 0)), 2) + 1), "")</f>
        <v/>
      </c>
      <c r="D39" s="15" t="str">
        <f>IF(C39="","",IF(C39=C38, "", SUMIFS('2024'!D:D,C:C, C39)))</f>
        <v/>
      </c>
      <c r="E39" s="3" t="str">
        <f>IF(C39="","",IF(C39=C38, "", SUMIFS('2024'!U:U,C:C, C39)))</f>
        <v/>
      </c>
    </row>
    <row r="40" spans="1:5">
      <c r="A40">
        <v>61</v>
      </c>
      <c r="C40" s="16" t="str">
        <f>IFERROR(IF(ISBLANK('2024'!A40), C39,INDEX('2024'!$A$2:$A$369, MATCH(A40, '2024'!$B$2:$B$369, 0)) - WEEKDAY(INDEX('2024'!$A$2:$A$369, MATCH(A40, '2024'!$B$2:$B$369, 0)), 2) + 1), "")</f>
        <v/>
      </c>
      <c r="D40" s="15" t="str">
        <f>IF(C40="","",IF(C40=C39, "", SUMIFS('2024'!D:D,C:C, C40)))</f>
        <v/>
      </c>
      <c r="E40" s="3" t="str">
        <f>IF(C40="","",IF(C40=C39, "", SUMIFS('2024'!U:U,C:C, C40)))</f>
        <v/>
      </c>
    </row>
    <row r="41" spans="1:5">
      <c r="A41">
        <v>62</v>
      </c>
      <c r="C41" s="16" t="str">
        <f>IFERROR(IF(ISBLANK('2024'!A41), C40,INDEX('2024'!$A$2:$A$369, MATCH(A41, '2024'!$B$2:$B$369, 0)) - WEEKDAY(INDEX('2024'!$A$2:$A$369, MATCH(A41, '2024'!$B$2:$B$369, 0)), 2) + 1), "")</f>
        <v/>
      </c>
      <c r="D41" s="15" t="str">
        <f>IF(C41="","",IF(C41=C40, "", SUMIFS('2024'!D:D,C:C, C41)))</f>
        <v/>
      </c>
      <c r="E41" s="3" t="str">
        <f>IF(C41="","",IF(C41=C40, "", SUMIFS('2024'!U:U,C:C, C41)))</f>
        <v/>
      </c>
    </row>
    <row r="42" spans="1:5">
      <c r="A42">
        <v>63</v>
      </c>
      <c r="C42" s="16" t="str">
        <f>IFERROR(IF(ISBLANK('2024'!A42), C41,INDEX('2024'!$A$2:$A$369, MATCH(A42, '2024'!$B$2:$B$369, 0)) - WEEKDAY(INDEX('2024'!$A$2:$A$369, MATCH(A42, '2024'!$B$2:$B$369, 0)), 2) + 1), "")</f>
        <v/>
      </c>
      <c r="D42" s="15" t="str">
        <f>IF(C42="","",IF(C42=C41, "", SUMIFS('2024'!D:D,C:C, C42)))</f>
        <v/>
      </c>
      <c r="E42" s="3" t="str">
        <f>IF(C42="","",IF(C42=C41, "", SUMIFS('2024'!U:U,C:C, C42)))</f>
        <v/>
      </c>
    </row>
    <row r="43" spans="1:5">
      <c r="A43">
        <v>64</v>
      </c>
      <c r="C43" s="16" t="str">
        <f>IFERROR(IF(ISBLANK('2024'!A43), C42,INDEX('2024'!$A$2:$A$369, MATCH(A43, '2024'!$B$2:$B$369, 0)) - WEEKDAY(INDEX('2024'!$A$2:$A$369, MATCH(A43, '2024'!$B$2:$B$369, 0)), 2) + 1), "")</f>
        <v/>
      </c>
      <c r="D43" s="15" t="str">
        <f>IF(C43="","",IF(C43=C42, "", SUMIFS('2024'!D:D,C:C, C43)))</f>
        <v/>
      </c>
      <c r="E43" s="3" t="str">
        <f>IF(C43="","",IF(C43=C42, "", SUMIFS('2024'!U:U,C:C, C43)))</f>
        <v/>
      </c>
    </row>
    <row r="44" spans="1:5">
      <c r="A44">
        <v>65</v>
      </c>
      <c r="C44" s="16" t="str">
        <f>IFERROR(IF(ISBLANK('2024'!A44), C43,INDEX('2024'!$A$2:$A$369, MATCH(A44, '2024'!$B$2:$B$369, 0)) - WEEKDAY(INDEX('2024'!$A$2:$A$369, MATCH(A44, '2024'!$B$2:$B$369, 0)), 2) + 1), "")</f>
        <v/>
      </c>
      <c r="D44" s="15" t="str">
        <f>IF(C44="","",IF(C44=C43, "", SUMIFS('2024'!D:D,C:C, C44)))</f>
        <v/>
      </c>
      <c r="E44" s="3" t="str">
        <f>IF(C44="","",IF(C44=C43, "", SUMIFS('2024'!U:U,C:C, C44)))</f>
        <v/>
      </c>
    </row>
    <row r="45" spans="1:5">
      <c r="A45">
        <v>66</v>
      </c>
      <c r="C45" s="16" t="str">
        <f>IFERROR(IF(ISBLANK('2024'!A45), C44,INDEX('2024'!$A$2:$A$369, MATCH(A45, '2024'!$B$2:$B$369, 0)) - WEEKDAY(INDEX('2024'!$A$2:$A$369, MATCH(A45, '2024'!$B$2:$B$369, 0)), 2) + 1), "")</f>
        <v/>
      </c>
      <c r="D45" s="15" t="str">
        <f>IF(C45="","",IF(C45=C44, "", SUMIFS('2024'!D:D,C:C, C45)))</f>
        <v/>
      </c>
      <c r="E45" s="3" t="str">
        <f>IF(C45="","",IF(C45=C44, "", SUMIFS('2024'!U:U,C:C, C45)))</f>
        <v/>
      </c>
    </row>
    <row r="46" spans="1:5">
      <c r="A46">
        <v>67</v>
      </c>
      <c r="C46" s="16" t="str">
        <f>IFERROR(IF(ISBLANK('2024'!A46), C45,INDEX('2024'!$A$2:$A$369, MATCH(A46, '2024'!$B$2:$B$369, 0)) - WEEKDAY(INDEX('2024'!$A$2:$A$369, MATCH(A46, '2024'!$B$2:$B$369, 0)), 2) + 1), "")</f>
        <v/>
      </c>
      <c r="D46" s="15" t="str">
        <f>IF(C46="","",IF(C46=C45, "", SUMIFS('2024'!D:D,C:C, C46)))</f>
        <v/>
      </c>
      <c r="E46" s="3" t="str">
        <f>IF(C46="","",IF(C46=C45, "", SUMIFS('2024'!U:U,C:C, C46)))</f>
        <v/>
      </c>
    </row>
    <row r="47" spans="1:5">
      <c r="A47">
        <v>68</v>
      </c>
      <c r="C47" s="16" t="str">
        <f>IFERROR(IF(ISBLANK('2024'!A47), C46,INDEX('2024'!$A$2:$A$369, MATCH(A47, '2024'!$B$2:$B$369, 0)) - WEEKDAY(INDEX('2024'!$A$2:$A$369, MATCH(A47, '2024'!$B$2:$B$369, 0)), 2) + 1), "")</f>
        <v/>
      </c>
      <c r="D47" s="15" t="str">
        <f>IF(C47="","",IF(C47=C46, "", SUMIFS('2024'!D:D,C:C, C47)))</f>
        <v/>
      </c>
      <c r="E47" s="3" t="str">
        <f>IF(C47="","",IF(C47=C46, "", SUMIFS('2024'!U:U,C:C, C47)))</f>
        <v/>
      </c>
    </row>
    <row r="48" spans="1:5">
      <c r="A48">
        <v>69</v>
      </c>
      <c r="C48" s="16" t="str">
        <f>IFERROR(IF(ISBLANK('2024'!A48), C47,INDEX('2024'!$A$2:$A$369, MATCH(A48, '2024'!$B$2:$B$369, 0)) - WEEKDAY(INDEX('2024'!$A$2:$A$369, MATCH(A48, '2024'!$B$2:$B$369, 0)), 2) + 1), "")</f>
        <v/>
      </c>
      <c r="D48" s="15" t="str">
        <f>IF(C48="","",IF(C48=C47, "", SUMIFS('2024'!D:D,C:C, C48)))</f>
        <v/>
      </c>
      <c r="E48" s="3" t="str">
        <f>IF(C48="","",IF(C48=C47, "", SUMIFS('2024'!U:U,C:C, C48)))</f>
        <v/>
      </c>
    </row>
    <row r="49" spans="1:5">
      <c r="A49">
        <v>70</v>
      </c>
      <c r="C49" s="16" t="str">
        <f>IFERROR(IF(ISBLANK('2024'!A49), C48,INDEX('2024'!$A$2:$A$369, MATCH(A49, '2024'!$B$2:$B$369, 0)) - WEEKDAY(INDEX('2024'!$A$2:$A$369, MATCH(A49, '2024'!$B$2:$B$369, 0)), 2) + 1), "")</f>
        <v/>
      </c>
      <c r="D49" s="15" t="str">
        <f>IF(C49="","",IF(C49=C48, "", SUMIFS('2024'!D:D,C:C, C49)))</f>
        <v/>
      </c>
      <c r="E49" s="3" t="str">
        <f>IF(C49="","",IF(C49=C48, "", SUMIFS('2024'!U:U,C:C, C49)))</f>
        <v/>
      </c>
    </row>
    <row r="50" spans="1:5">
      <c r="A50">
        <v>71</v>
      </c>
      <c r="C50" s="16" t="str">
        <f>IFERROR(IF(ISBLANK('2024'!A50), C49,INDEX('2024'!$A$2:$A$369, MATCH(A50, '2024'!$B$2:$B$369, 0)) - WEEKDAY(INDEX('2024'!$A$2:$A$369, MATCH(A50, '2024'!$B$2:$B$369, 0)), 2) + 1), "")</f>
        <v/>
      </c>
      <c r="D50" s="15" t="str">
        <f>IF(C50="","",IF(C50=C49, "", SUMIFS('2024'!D:D,C:C, C50)))</f>
        <v/>
      </c>
      <c r="E50" s="3" t="str">
        <f>IF(C50="","",IF(C50=C49, "", SUMIFS('2024'!U:U,C:C, C50)))</f>
        <v/>
      </c>
    </row>
    <row r="51" spans="1:5">
      <c r="A51">
        <v>72</v>
      </c>
      <c r="C51" s="16" t="str">
        <f>IFERROR(IF(ISBLANK('2024'!A51), C50,INDEX('2024'!$A$2:$A$369, MATCH(A51, '2024'!$B$2:$B$369, 0)) - WEEKDAY(INDEX('2024'!$A$2:$A$369, MATCH(A51, '2024'!$B$2:$B$369, 0)), 2) + 1), "")</f>
        <v/>
      </c>
      <c r="D51" s="15" t="str">
        <f>IF(C51="","",IF(C51=C50, "", SUMIFS('2024'!D:D,C:C, C51)))</f>
        <v/>
      </c>
      <c r="E51" s="3" t="str">
        <f>IF(C51="","",IF(C51=C50, "", SUMIFS('2024'!U:U,C:C, C51)))</f>
        <v/>
      </c>
    </row>
    <row r="52" spans="1:5">
      <c r="A52">
        <v>73</v>
      </c>
      <c r="C52" s="16" t="str">
        <f>IFERROR(IF(ISBLANK('2024'!A52), C51,INDEX('2024'!$A$2:$A$369, MATCH(A52, '2024'!$B$2:$B$369, 0)) - WEEKDAY(INDEX('2024'!$A$2:$A$369, MATCH(A52, '2024'!$B$2:$B$369, 0)), 2) + 1), "")</f>
        <v/>
      </c>
      <c r="D52" s="15" t="str">
        <f>IF(C52="","",IF(C52=C51, "", SUMIFS('2024'!D:D,C:C, C52)))</f>
        <v/>
      </c>
      <c r="E52" s="3" t="str">
        <f>IF(C52="","",IF(C52=C51, "", SUMIFS('2024'!U:U,C:C, C52)))</f>
        <v/>
      </c>
    </row>
    <row r="53" spans="1:5">
      <c r="A53">
        <v>74</v>
      </c>
      <c r="C53" s="16" t="str">
        <f>IFERROR(IF(ISBLANK('2024'!A53), C52,INDEX('2024'!$A$2:$A$369, MATCH(A53, '2024'!$B$2:$B$369, 0)) - WEEKDAY(INDEX('2024'!$A$2:$A$369, MATCH(A53, '2024'!$B$2:$B$369, 0)), 2) + 1), "")</f>
        <v/>
      </c>
      <c r="D53" s="15" t="str">
        <f>IF(C53="","",IF(C53=C52, "", SUMIFS('2024'!D:D,C:C, C53)))</f>
        <v/>
      </c>
      <c r="E53" s="3" t="str">
        <f>IF(C53="","",IF(C53=C52, "", SUMIFS('2024'!U:U,C:C, C53)))</f>
        <v/>
      </c>
    </row>
    <row r="54" spans="1:5">
      <c r="A54">
        <v>75</v>
      </c>
      <c r="C54" s="16" t="str">
        <f>IFERROR(IF(ISBLANK('2024'!A54), C53,INDEX('2024'!$A$2:$A$369, MATCH(A54, '2024'!$B$2:$B$369, 0)) - WEEKDAY(INDEX('2024'!$A$2:$A$369, MATCH(A54, '2024'!$B$2:$B$369, 0)), 2) + 1), "")</f>
        <v/>
      </c>
      <c r="D54" s="15" t="str">
        <f>IF(C54="","",IF(C54=C53, "", SUMIFS('2024'!D:D,C:C, C54)))</f>
        <v/>
      </c>
      <c r="E54" s="3" t="str">
        <f>IF(C54="","",IF(C54=C53, "", SUMIFS('2024'!U:U,C:C, C54)))</f>
        <v/>
      </c>
    </row>
    <row r="55" spans="1:5">
      <c r="A55">
        <v>76</v>
      </c>
      <c r="C55" s="16" t="str">
        <f>IFERROR(IF(ISBLANK('2024'!A55), C54,INDEX('2024'!$A$2:$A$369, MATCH(A55, '2024'!$B$2:$B$369, 0)) - WEEKDAY(INDEX('2024'!$A$2:$A$369, MATCH(A55, '2024'!$B$2:$B$369, 0)), 2) + 1), "")</f>
        <v/>
      </c>
      <c r="D55" s="15" t="str">
        <f>IF(C55="","",IF(C55=C54, "", SUMIFS('2024'!D:D,C:C, C55)))</f>
        <v/>
      </c>
      <c r="E55" s="3" t="str">
        <f>IF(C55="","",IF(C55=C54, "", SUMIFS('2024'!U:U,C:C, C55)))</f>
        <v/>
      </c>
    </row>
    <row r="56" spans="1:5">
      <c r="A56">
        <v>77</v>
      </c>
      <c r="C56" s="16" t="str">
        <f>IFERROR(IF(ISBLANK('2024'!A56), C55,INDEX('2024'!$A$2:$A$369, MATCH(A56, '2024'!$B$2:$B$369, 0)) - WEEKDAY(INDEX('2024'!$A$2:$A$369, MATCH(A56, '2024'!$B$2:$B$369, 0)), 2) + 1), "")</f>
        <v/>
      </c>
      <c r="D56" s="15" t="str">
        <f>IF(C56="","",IF(C56=C55, "", SUMIFS('2024'!D:D,C:C, C56)))</f>
        <v/>
      </c>
      <c r="E56" s="3" t="str">
        <f>IF(C56="","",IF(C56=C55, "", SUMIFS('2024'!U:U,C:C, C56)))</f>
        <v/>
      </c>
    </row>
    <row r="57" spans="1:5">
      <c r="A57">
        <v>78</v>
      </c>
      <c r="C57" s="16" t="str">
        <f>IFERROR(IF(ISBLANK('2024'!A57), C56,INDEX('2024'!$A$2:$A$369, MATCH(A57, '2024'!$B$2:$B$369, 0)) - WEEKDAY(INDEX('2024'!$A$2:$A$369, MATCH(A57, '2024'!$B$2:$B$369, 0)), 2) + 1), "")</f>
        <v/>
      </c>
      <c r="D57" s="15" t="str">
        <f>IF(C57="","",IF(C57=C56, "", SUMIFS('2024'!D:D,C:C, C57)))</f>
        <v/>
      </c>
      <c r="E57" s="3" t="str">
        <f>IF(C57="","",IF(C57=C56, "", SUMIFS('2024'!U:U,C:C, C57)))</f>
        <v/>
      </c>
    </row>
    <row r="58" spans="1:5">
      <c r="A58">
        <v>79</v>
      </c>
      <c r="C58" s="16" t="str">
        <f>IFERROR(IF(ISBLANK('2024'!A58), C57,INDEX('2024'!$A$2:$A$369, MATCH(A58, '2024'!$B$2:$B$369, 0)) - WEEKDAY(INDEX('2024'!$A$2:$A$369, MATCH(A58, '2024'!$B$2:$B$369, 0)), 2) + 1), "")</f>
        <v/>
      </c>
      <c r="D58" s="15" t="str">
        <f>IF(C58="","",IF(C58=C57, "", SUMIFS('2024'!D:D,C:C, C58)))</f>
        <v/>
      </c>
      <c r="E58" s="3" t="str">
        <f>IF(C58="","",IF(C58=C57, "", SUMIFS('2024'!U:U,C:C, C58)))</f>
        <v/>
      </c>
    </row>
    <row r="59" spans="1:5">
      <c r="A59">
        <v>80</v>
      </c>
      <c r="C59" s="16" t="str">
        <f>IFERROR(IF(ISBLANK('2024'!A59), C58,INDEX('2024'!$A$2:$A$369, MATCH(A59, '2024'!$B$2:$B$369, 0)) - WEEKDAY(INDEX('2024'!$A$2:$A$369, MATCH(A59, '2024'!$B$2:$B$369, 0)), 2) + 1), "")</f>
        <v/>
      </c>
      <c r="D59" s="15" t="str">
        <f>IF(C59="","",IF(C59=C58, "", SUMIFS('2024'!D:D,C:C, C59)))</f>
        <v/>
      </c>
      <c r="E59" s="3" t="str">
        <f>IF(C59="","",IF(C59=C58, "", SUMIFS('2024'!U:U,C:C, C59)))</f>
        <v/>
      </c>
    </row>
    <row r="60" spans="1:5">
      <c r="A60">
        <v>81</v>
      </c>
      <c r="C60" s="16" t="str">
        <f>IFERROR(IF(ISBLANK('2024'!A60), C59,INDEX('2024'!$A$2:$A$369, MATCH(A60, '2024'!$B$2:$B$369, 0)) - WEEKDAY(INDEX('2024'!$A$2:$A$369, MATCH(A60, '2024'!$B$2:$B$369, 0)), 2) + 1), "")</f>
        <v/>
      </c>
      <c r="D60" s="15" t="str">
        <f>IF(C60="","",IF(C60=C59, "", SUMIFS('2024'!D:D,C:C, C60)))</f>
        <v/>
      </c>
      <c r="E60" s="3" t="str">
        <f>IF(C60="","",IF(C60=C59, "", SUMIFS('2024'!U:U,C:C, C60)))</f>
        <v/>
      </c>
    </row>
    <row r="61" spans="1:5">
      <c r="A61">
        <v>82</v>
      </c>
      <c r="C61" s="16" t="str">
        <f>IFERROR(IF(ISBLANK('2024'!A61), C60,INDEX('2024'!$A$2:$A$369, MATCH(A61, '2024'!$B$2:$B$369, 0)) - WEEKDAY(INDEX('2024'!$A$2:$A$369, MATCH(A61, '2024'!$B$2:$B$369, 0)), 2) + 1), "")</f>
        <v/>
      </c>
      <c r="D61" s="15" t="str">
        <f>IF(C61="","",IF(C61=C60, "", SUMIFS('2024'!D:D,C:C, C61)))</f>
        <v/>
      </c>
      <c r="E61" s="3" t="str">
        <f>IF(C61="","",IF(C61=C60, "", SUMIFS('2024'!U:U,C:C, C61)))</f>
        <v/>
      </c>
    </row>
    <row r="62" spans="1:5">
      <c r="A62">
        <v>83</v>
      </c>
      <c r="C62" s="16" t="str">
        <f>IFERROR(IF(ISBLANK('2024'!A62), C61,INDEX('2024'!$A$2:$A$369, MATCH(A62, '2024'!$B$2:$B$369, 0)) - WEEKDAY(INDEX('2024'!$A$2:$A$369, MATCH(A62, '2024'!$B$2:$B$369, 0)), 2) + 1), "")</f>
        <v/>
      </c>
      <c r="D62" s="15" t="str">
        <f>IF(C62="","",IF(C62=C61, "", SUMIFS('2024'!D:D,C:C, C62)))</f>
        <v/>
      </c>
      <c r="E62" s="3" t="str">
        <f>IF(C62="","",IF(C62=C61, "", SUMIFS('2024'!U:U,C:C, C62)))</f>
        <v/>
      </c>
    </row>
    <row r="63" spans="1:5">
      <c r="A63">
        <v>84</v>
      </c>
      <c r="C63" s="16" t="str">
        <f>IFERROR(IF(ISBLANK('2024'!A63), C62,INDEX('2024'!$A$2:$A$369, MATCH(A63, '2024'!$B$2:$B$369, 0)) - WEEKDAY(INDEX('2024'!$A$2:$A$369, MATCH(A63, '2024'!$B$2:$B$369, 0)), 2) + 1), "")</f>
        <v/>
      </c>
      <c r="D63" s="15" t="str">
        <f>IF(C63="","",IF(C63=C62, "", SUMIFS('2024'!D:D,C:C, C63)))</f>
        <v/>
      </c>
      <c r="E63" s="3" t="str">
        <f>IF(C63="","",IF(C63=C62, "", SUMIFS('2024'!U:U,C:C, C63)))</f>
        <v/>
      </c>
    </row>
    <row r="64" spans="1:5">
      <c r="A64">
        <v>85</v>
      </c>
      <c r="C64" s="16" t="str">
        <f>IFERROR(IF(ISBLANK('2024'!A64), C63,INDEX('2024'!$A$2:$A$369, MATCH(A64, '2024'!$B$2:$B$369, 0)) - WEEKDAY(INDEX('2024'!$A$2:$A$369, MATCH(A64, '2024'!$B$2:$B$369, 0)), 2) + 1), "")</f>
        <v/>
      </c>
      <c r="D64" s="15" t="str">
        <f>IF(C64="","",IF(C64=C63, "", SUMIFS('2024'!D:D,C:C, C64)))</f>
        <v/>
      </c>
      <c r="E64" s="3" t="str">
        <f>IF(C64="","",IF(C64=C63, "", SUMIFS('2024'!U:U,C:C, C64)))</f>
        <v/>
      </c>
    </row>
    <row r="65" spans="1:5">
      <c r="A65">
        <v>86</v>
      </c>
      <c r="C65" s="16" t="str">
        <f>IFERROR(IF(ISBLANK('2024'!A65), C64,INDEX('2024'!$A$2:$A$369, MATCH(A65, '2024'!$B$2:$B$369, 0)) - WEEKDAY(INDEX('2024'!$A$2:$A$369, MATCH(A65, '2024'!$B$2:$B$369, 0)), 2) + 1), "")</f>
        <v/>
      </c>
      <c r="D65" s="15" t="str">
        <f>IF(C65="","",IF(C65=C64, "", SUMIFS('2024'!D:D,C:C, C65)))</f>
        <v/>
      </c>
      <c r="E65" s="3" t="str">
        <f>IF(C65="","",IF(C65=C64, "", SUMIFS('2024'!U:U,C:C, C65)))</f>
        <v/>
      </c>
    </row>
    <row r="66" spans="1:5">
      <c r="A66">
        <v>87</v>
      </c>
      <c r="C66" s="16" t="str">
        <f>IFERROR(IF(ISBLANK('2024'!A66), C65,INDEX('2024'!$A$2:$A$369, MATCH(A66, '2024'!$B$2:$B$369, 0)) - WEEKDAY(INDEX('2024'!$A$2:$A$369, MATCH(A66, '2024'!$B$2:$B$369, 0)), 2) + 1), "")</f>
        <v/>
      </c>
      <c r="D66" s="15" t="str">
        <f>IF(C66="","",IF(C66=C65, "", SUMIFS('2024'!D:D,C:C, C66)))</f>
        <v/>
      </c>
      <c r="E66" s="3" t="str">
        <f>IF(C66="","",IF(C66=C65, "", SUMIFS('2024'!U:U,C:C, C66)))</f>
        <v/>
      </c>
    </row>
    <row r="67" spans="1:5">
      <c r="A67">
        <v>88</v>
      </c>
      <c r="C67" s="16" t="str">
        <f>IFERROR(IF(ISBLANK('2024'!A67), C66,INDEX('2024'!$A$2:$A$369, MATCH(A67, '2024'!$B$2:$B$369, 0)) - WEEKDAY(INDEX('2024'!$A$2:$A$369, MATCH(A67, '2024'!$B$2:$B$369, 0)), 2) + 1), "")</f>
        <v/>
      </c>
      <c r="D67" s="15" t="str">
        <f>IF(C67="","",IF(C67=C66, "", SUMIFS('2024'!D:D,C:C, C67)))</f>
        <v/>
      </c>
      <c r="E67" s="3" t="str">
        <f>IF(C67="","",IF(C67=C66, "", SUMIFS('2024'!U:U,C:C, C67)))</f>
        <v/>
      </c>
    </row>
    <row r="68" spans="1:5">
      <c r="A68">
        <v>89</v>
      </c>
      <c r="C68" s="16" t="str">
        <f>IFERROR(IF(ISBLANK('2024'!A68), C67,INDEX('2024'!$A$2:$A$369, MATCH(A68, '2024'!$B$2:$B$369, 0)) - WEEKDAY(INDEX('2024'!$A$2:$A$369, MATCH(A68, '2024'!$B$2:$B$369, 0)), 2) + 1), "")</f>
        <v/>
      </c>
      <c r="D68" s="15" t="str">
        <f>IF(C68="","",IF(C68=C67, "", SUMIFS('2024'!D:D,C:C, C68)))</f>
        <v/>
      </c>
      <c r="E68" s="3" t="str">
        <f>IF(C68="","",IF(C68=C67, "", SUMIFS('2024'!U:U,C:C, C68)))</f>
        <v/>
      </c>
    </row>
    <row r="69" spans="1:5">
      <c r="A69">
        <v>90</v>
      </c>
      <c r="C69" s="16" t="str">
        <f>IFERROR(IF(ISBLANK('2024'!A69), C68,INDEX('2024'!$A$2:$A$369, MATCH(A69, '2024'!$B$2:$B$369, 0)) - WEEKDAY(INDEX('2024'!$A$2:$A$369, MATCH(A69, '2024'!$B$2:$B$369, 0)), 2) + 1), "")</f>
        <v/>
      </c>
      <c r="D69" s="15" t="str">
        <f>IF(C69="","",IF(C69=C68, "", SUMIFS('2024'!D:D,C:C, C69)))</f>
        <v/>
      </c>
      <c r="E69" s="3" t="str">
        <f>IF(C69="","",IF(C69=C68, "", SUMIFS('2024'!U:U,C:C, C69)))</f>
        <v/>
      </c>
    </row>
    <row r="70" spans="1:5">
      <c r="A70">
        <v>91</v>
      </c>
      <c r="C70" s="16" t="str">
        <f>IFERROR(IF(ISBLANK('2024'!A70), C69,INDEX('2024'!$A$2:$A$369, MATCH(A70, '2024'!$B$2:$B$369, 0)) - WEEKDAY(INDEX('2024'!$A$2:$A$369, MATCH(A70, '2024'!$B$2:$B$369, 0)), 2) + 1), "")</f>
        <v/>
      </c>
      <c r="D70" s="15" t="str">
        <f>IF(C70="","",IF(C70=C69, "", SUMIFS('2024'!D:D,C:C, C70)))</f>
        <v/>
      </c>
      <c r="E70" s="3" t="str">
        <f>IF(C70="","",IF(C70=C69, "", SUMIFS('2024'!U:U,C:C, C70)))</f>
        <v/>
      </c>
    </row>
    <row r="71" spans="1:5">
      <c r="A71">
        <v>92</v>
      </c>
      <c r="C71" s="16" t="str">
        <f>IFERROR(IF(ISBLANK('2024'!A71), C70,INDEX('2024'!$A$2:$A$369, MATCH(A71, '2024'!$B$2:$B$369, 0)) - WEEKDAY(INDEX('2024'!$A$2:$A$369, MATCH(A71, '2024'!$B$2:$B$369, 0)), 2) + 1), "")</f>
        <v/>
      </c>
      <c r="D71" s="15" t="str">
        <f>IF(C71="","",IF(C71=C70, "", SUMIFS('2024'!D:D,C:C, C71)))</f>
        <v/>
      </c>
      <c r="E71" s="3" t="str">
        <f>IF(C71="","",IF(C71=C70, "", SUMIFS('2024'!U:U,C:C, C71)))</f>
        <v/>
      </c>
    </row>
    <row r="72" spans="1:5">
      <c r="A72">
        <v>93</v>
      </c>
      <c r="C72" s="16" t="str">
        <f>IFERROR(IF(ISBLANK('2024'!A72), C71,INDEX('2024'!$A$2:$A$369, MATCH(A72, '2024'!$B$2:$B$369, 0)) - WEEKDAY(INDEX('2024'!$A$2:$A$369, MATCH(A72, '2024'!$B$2:$B$369, 0)), 2) + 1), "")</f>
        <v/>
      </c>
      <c r="D72" s="15" t="str">
        <f>IF(C72="","",IF(C72=C71, "", SUMIFS('2024'!D:D,C:C, C72)))</f>
        <v/>
      </c>
      <c r="E72" s="3" t="str">
        <f>IF(C72="","",IF(C72=C71, "", SUMIFS('2024'!U:U,C:C, C72)))</f>
        <v/>
      </c>
    </row>
    <row r="73" spans="1:5">
      <c r="A73">
        <v>94</v>
      </c>
      <c r="C73" s="16" t="str">
        <f>IFERROR(IF(ISBLANK('2024'!A73), C72,INDEX('2024'!$A$2:$A$369, MATCH(A73, '2024'!$B$2:$B$369, 0)) - WEEKDAY(INDEX('2024'!$A$2:$A$369, MATCH(A73, '2024'!$B$2:$B$369, 0)), 2) + 1), "")</f>
        <v/>
      </c>
      <c r="D73" s="15" t="str">
        <f>IF(C73="","",IF(C73=C72, "", SUMIFS('2024'!D:D,C:C, C73)))</f>
        <v/>
      </c>
      <c r="E73" s="3" t="str">
        <f>IF(C73="","",IF(C73=C72, "", SUMIFS('2024'!U:U,C:C, C73)))</f>
        <v/>
      </c>
    </row>
    <row r="74" spans="1:5">
      <c r="A74">
        <v>95</v>
      </c>
      <c r="C74" s="16" t="str">
        <f>IFERROR(IF(ISBLANK('2024'!A74), C73,INDEX('2024'!$A$2:$A$369, MATCH(A74, '2024'!$B$2:$B$369, 0)) - WEEKDAY(INDEX('2024'!$A$2:$A$369, MATCH(A74, '2024'!$B$2:$B$369, 0)), 2) + 1), "")</f>
        <v/>
      </c>
      <c r="D74" s="15" t="str">
        <f>IF(C74="","",IF(C74=C73, "", SUMIFS('2024'!D:D,C:C, C74)))</f>
        <v/>
      </c>
      <c r="E74" s="3" t="str">
        <f>IF(C74="","",IF(C74=C73, "", SUMIFS('2024'!U:U,C:C, C74)))</f>
        <v/>
      </c>
    </row>
    <row r="75" spans="1:5">
      <c r="A75">
        <v>96</v>
      </c>
      <c r="C75" s="16" t="str">
        <f>IFERROR(IF(ISBLANK('2024'!A75), C74,INDEX('2024'!$A$2:$A$369, MATCH(A75, '2024'!$B$2:$B$369, 0)) - WEEKDAY(INDEX('2024'!$A$2:$A$369, MATCH(A75, '2024'!$B$2:$B$369, 0)), 2) + 1), "")</f>
        <v/>
      </c>
      <c r="D75" s="15" t="str">
        <f>IF(C75="","",IF(C75=C74, "", SUMIFS('2024'!D:D,C:C, C75)))</f>
        <v/>
      </c>
      <c r="E75" s="3" t="str">
        <f>IF(C75="","",IF(C75=C74, "", SUMIFS('2024'!U:U,C:C, C75)))</f>
        <v/>
      </c>
    </row>
    <row r="76" spans="1:5">
      <c r="A76">
        <v>97</v>
      </c>
      <c r="C76" s="16" t="str">
        <f>IFERROR(IF(ISBLANK('2024'!A76), C75,INDEX('2024'!$A$2:$A$369, MATCH(A76, '2024'!$B$2:$B$369, 0)) - WEEKDAY(INDEX('2024'!$A$2:$A$369, MATCH(A76, '2024'!$B$2:$B$369, 0)), 2) + 1), "")</f>
        <v/>
      </c>
      <c r="D76" s="15" t="str">
        <f>IF(C76="","",IF(C76=C75, "", SUMIFS('2024'!D:D,C:C, C76)))</f>
        <v/>
      </c>
      <c r="E76" s="3" t="str">
        <f>IF(C76="","",IF(C76=C75, "", SUMIFS('2024'!U:U,C:C, C76)))</f>
        <v/>
      </c>
    </row>
    <row r="77" spans="1:5">
      <c r="A77">
        <v>98</v>
      </c>
      <c r="C77" s="16" t="str">
        <f>IFERROR(IF(ISBLANK('2024'!A77), C76,INDEX('2024'!$A$2:$A$369, MATCH(A77, '2024'!$B$2:$B$369, 0)) - WEEKDAY(INDEX('2024'!$A$2:$A$369, MATCH(A77, '2024'!$B$2:$B$369, 0)), 2) + 1), "")</f>
        <v/>
      </c>
      <c r="D77" s="15" t="str">
        <f>IF(C77="","",IF(C77=C76, "", SUMIFS('2024'!D:D,C:C, C77)))</f>
        <v/>
      </c>
      <c r="E77" s="3" t="str">
        <f>IF(C77="","",IF(C77=C76, "", SUMIFS('2024'!U:U,C:C, C77)))</f>
        <v/>
      </c>
    </row>
    <row r="78" spans="1:5">
      <c r="A78">
        <v>99</v>
      </c>
      <c r="C78" s="16" t="str">
        <f>IFERROR(IF(ISBLANK('2024'!A78), C77,INDEX('2024'!$A$2:$A$369, MATCH(A78, '2024'!$B$2:$B$369, 0)) - WEEKDAY(INDEX('2024'!$A$2:$A$369, MATCH(A78, '2024'!$B$2:$B$369, 0)), 2) + 1), "")</f>
        <v/>
      </c>
      <c r="D78" s="15" t="str">
        <f>IF(C78="","",IF(C78=C77, "", SUMIFS('2024'!D:D,C:C, C78)))</f>
        <v/>
      </c>
      <c r="E78" s="3" t="str">
        <f>IF(C78="","",IF(C78=C77, "", SUMIFS('2024'!U:U,C:C, C78)))</f>
        <v/>
      </c>
    </row>
    <row r="79" spans="1:5">
      <c r="A79">
        <v>100</v>
      </c>
      <c r="C79" s="16" t="str">
        <f>IFERROR(IF(ISBLANK('2024'!A79), C78,INDEX('2024'!$A$2:$A$369, MATCH(A79, '2024'!$B$2:$B$369, 0)) - WEEKDAY(INDEX('2024'!$A$2:$A$369, MATCH(A79, '2024'!$B$2:$B$369, 0)), 2) + 1), "")</f>
        <v/>
      </c>
      <c r="D79" s="15" t="str">
        <f>IF(C79="","",IF(C79=C78, "", SUMIFS('2024'!D:D,C:C, C79)))</f>
        <v/>
      </c>
      <c r="E79" s="3" t="str">
        <f>IF(C79="","",IF(C79=C78, "", SUMIFS('2024'!U:U,C:C, C79)))</f>
        <v/>
      </c>
    </row>
    <row r="80" spans="1:5">
      <c r="A80">
        <v>101</v>
      </c>
      <c r="C80" s="16" t="str">
        <f>IFERROR(IF(ISBLANK('2024'!A80), C79,INDEX('2024'!$A$2:$A$369, MATCH(A80, '2024'!$B$2:$B$369, 0)) - WEEKDAY(INDEX('2024'!$A$2:$A$369, MATCH(A80, '2024'!$B$2:$B$369, 0)), 2) + 1), "")</f>
        <v/>
      </c>
      <c r="D80" s="15" t="str">
        <f>IF(C80="","",IF(C80=C79, "", SUMIFS('2024'!D:D,C:C, C80)))</f>
        <v/>
      </c>
      <c r="E80" s="3" t="str">
        <f>IF(C80="","",IF(C80=C79, "", SUMIFS('2024'!U:U,C:C, C80)))</f>
        <v/>
      </c>
    </row>
    <row r="81" spans="1:5">
      <c r="A81">
        <v>102</v>
      </c>
      <c r="C81" s="16" t="str">
        <f>IFERROR(IF(ISBLANK('2024'!A81), C80,INDEX('2024'!$A$2:$A$369, MATCH(A81, '2024'!$B$2:$B$369, 0)) - WEEKDAY(INDEX('2024'!$A$2:$A$369, MATCH(A81, '2024'!$B$2:$B$369, 0)), 2) + 1), "")</f>
        <v/>
      </c>
      <c r="D81" s="15" t="str">
        <f>IF(C81="","",IF(C81=C80, "", SUMIFS('2024'!D:D,C:C, C81)))</f>
        <v/>
      </c>
      <c r="E81" s="3" t="str">
        <f>IF(C81="","",IF(C81=C80, "", SUMIFS('2024'!U:U,C:C, C81)))</f>
        <v/>
      </c>
    </row>
    <row r="82" spans="1:5">
      <c r="A82">
        <v>103</v>
      </c>
      <c r="C82" s="16" t="str">
        <f>IFERROR(IF(ISBLANK('2024'!A82), C81,INDEX('2024'!$A$2:$A$369, MATCH(A82, '2024'!$B$2:$B$369, 0)) - WEEKDAY(INDEX('2024'!$A$2:$A$369, MATCH(A82, '2024'!$B$2:$B$369, 0)), 2) + 1), "")</f>
        <v/>
      </c>
      <c r="D82" s="15" t="str">
        <f>IF(C82="","",IF(C82=C81, "", SUMIFS('2024'!D:D,C:C, C82)))</f>
        <v/>
      </c>
      <c r="E82" s="3" t="str">
        <f>IF(C82="","",IF(C82=C81, "", SUMIFS('2024'!U:U,C:C, C82)))</f>
        <v/>
      </c>
    </row>
    <row r="83" spans="1:5">
      <c r="A83">
        <v>104</v>
      </c>
      <c r="C83" s="16" t="str">
        <f>IFERROR(IF(ISBLANK('2024'!A83), C82,INDEX('2024'!$A$2:$A$369, MATCH(A83, '2024'!$B$2:$B$369, 0)) - WEEKDAY(INDEX('2024'!$A$2:$A$369, MATCH(A83, '2024'!$B$2:$B$369, 0)), 2) + 1), "")</f>
        <v/>
      </c>
      <c r="D83" s="15" t="str">
        <f>IF(C83="","",IF(C83=C82, "", SUMIFS('2024'!D:D,C:C, C83)))</f>
        <v/>
      </c>
      <c r="E83" s="3" t="str">
        <f>IF(C83="","",IF(C83=C82, "", SUMIFS('2024'!U:U,C:C, C83)))</f>
        <v/>
      </c>
    </row>
    <row r="84" spans="1:5">
      <c r="A84">
        <v>105</v>
      </c>
      <c r="C84" s="16" t="str">
        <f>IFERROR(IF(ISBLANK('2024'!A84), C83,INDEX('2024'!$A$2:$A$369, MATCH(A84, '2024'!$B$2:$B$369, 0)) - WEEKDAY(INDEX('2024'!$A$2:$A$369, MATCH(A84, '2024'!$B$2:$B$369, 0)), 2) + 1), "")</f>
        <v/>
      </c>
      <c r="D84" s="15" t="str">
        <f>IF(C84="","",IF(C84=C83, "", SUMIFS('2024'!D:D,C:C, C84)))</f>
        <v/>
      </c>
      <c r="E84" s="3" t="str">
        <f>IF(C84="","",IF(C84=C83, "", SUMIFS('2024'!U:U,C:C, C84)))</f>
        <v/>
      </c>
    </row>
    <row r="85" spans="1:5">
      <c r="A85">
        <v>106</v>
      </c>
      <c r="C85" s="16" t="str">
        <f>IFERROR(IF(ISBLANK('2024'!A85), C84,INDEX('2024'!$A$2:$A$369, MATCH(A85, '2024'!$B$2:$B$369, 0)) - WEEKDAY(INDEX('2024'!$A$2:$A$369, MATCH(A85, '2024'!$B$2:$B$369, 0)), 2) + 1), "")</f>
        <v/>
      </c>
      <c r="D85" s="15" t="str">
        <f>IF(C85="","",IF(C85=C84, "", SUMIFS('2024'!D:D,C:C, C85)))</f>
        <v/>
      </c>
      <c r="E85" s="3" t="str">
        <f>IF(C85="","",IF(C85=C84, "", SUMIFS('2024'!U:U,C:C, C85)))</f>
        <v/>
      </c>
    </row>
    <row r="86" spans="1:5">
      <c r="A86">
        <v>107</v>
      </c>
      <c r="C86" s="16" t="str">
        <f>IFERROR(IF(ISBLANK('2024'!A86), C85,INDEX('2024'!$A$2:$A$369, MATCH(A86, '2024'!$B$2:$B$369, 0)) - WEEKDAY(INDEX('2024'!$A$2:$A$369, MATCH(A86, '2024'!$B$2:$B$369, 0)), 2) + 1), "")</f>
        <v/>
      </c>
      <c r="D86" s="15" t="str">
        <f>IF(C86="","",IF(C86=C85, "", SUMIFS('2024'!D:D,C:C, C86)))</f>
        <v/>
      </c>
      <c r="E86" s="3" t="str">
        <f>IF(C86="","",IF(C86=C85, "", SUMIFS('2024'!U:U,C:C, C86)))</f>
        <v/>
      </c>
    </row>
    <row r="87" spans="1:5">
      <c r="A87">
        <v>108</v>
      </c>
      <c r="C87" s="16" t="str">
        <f>IFERROR(IF(ISBLANK('2024'!A87), C86,INDEX('2024'!$A$2:$A$369, MATCH(A87, '2024'!$B$2:$B$369, 0)) - WEEKDAY(INDEX('2024'!$A$2:$A$369, MATCH(A87, '2024'!$B$2:$B$369, 0)), 2) + 1), "")</f>
        <v/>
      </c>
      <c r="D87" s="15" t="str">
        <f>IF(C87="","",IF(C87=C86, "", SUMIFS('2024'!D:D,C:C, C87)))</f>
        <v/>
      </c>
      <c r="E87" s="3" t="str">
        <f>IF(C87="","",IF(C87=C86, "", SUMIFS('2024'!U:U,C:C, C87)))</f>
        <v/>
      </c>
    </row>
    <row r="88" spans="1:5">
      <c r="A88">
        <v>109</v>
      </c>
      <c r="C88" s="16" t="str">
        <f>IFERROR(IF(ISBLANK('2024'!A88), C87,INDEX('2024'!$A$2:$A$369, MATCH(A88, '2024'!$B$2:$B$369, 0)) - WEEKDAY(INDEX('2024'!$A$2:$A$369, MATCH(A88, '2024'!$B$2:$B$369, 0)), 2) + 1), "")</f>
        <v/>
      </c>
      <c r="D88" s="15" t="str">
        <f>IF(C88="","",IF(C88=C87, "", SUMIFS('2024'!D:D,C:C, C88)))</f>
        <v/>
      </c>
      <c r="E88" s="3" t="str">
        <f>IF(C88="","",IF(C88=C87, "", SUMIFS('2024'!U:U,C:C, C88)))</f>
        <v/>
      </c>
    </row>
    <row r="89" spans="1:5">
      <c r="A89">
        <v>110</v>
      </c>
      <c r="C89" s="16" t="str">
        <f>IFERROR(IF(ISBLANK('2024'!A89), C88,INDEX('2024'!$A$2:$A$369, MATCH(A89, '2024'!$B$2:$B$369, 0)) - WEEKDAY(INDEX('2024'!$A$2:$A$369, MATCH(A89, '2024'!$B$2:$B$369, 0)), 2) + 1), "")</f>
        <v/>
      </c>
      <c r="D89" s="15" t="str">
        <f>IF(C89="","",IF(C89=C88, "", SUMIFS('2024'!D:D,C:C, C89)))</f>
        <v/>
      </c>
      <c r="E89" s="3" t="str">
        <f>IF(C89="","",IF(C89=C88, "", SUMIFS('2024'!U:U,C:C, C89)))</f>
        <v/>
      </c>
    </row>
    <row r="90" spans="1:5">
      <c r="A90">
        <v>111</v>
      </c>
      <c r="C90" s="16" t="str">
        <f>IFERROR(IF(ISBLANK('2024'!A90), C89,INDEX('2024'!$A$2:$A$369, MATCH(A90, '2024'!$B$2:$B$369, 0)) - WEEKDAY(INDEX('2024'!$A$2:$A$369, MATCH(A90, '2024'!$B$2:$B$369, 0)), 2) + 1), "")</f>
        <v/>
      </c>
      <c r="D90" s="15" t="str">
        <f>IF(C90="","",IF(C90=C89, "", SUMIFS('2024'!D:D,C:C, C90)))</f>
        <v/>
      </c>
      <c r="E90" s="3" t="str">
        <f>IF(C90="","",IF(C90=C89, "", SUMIFS('2024'!U:U,C:C, C90)))</f>
        <v/>
      </c>
    </row>
    <row r="91" spans="1:5">
      <c r="A91">
        <v>112</v>
      </c>
      <c r="C91" s="16" t="str">
        <f>IFERROR(IF(ISBLANK('2024'!A91), C90,INDEX('2024'!$A$2:$A$369, MATCH(A91, '2024'!$B$2:$B$369, 0)) - WEEKDAY(INDEX('2024'!$A$2:$A$369, MATCH(A91, '2024'!$B$2:$B$369, 0)), 2) + 1), "")</f>
        <v/>
      </c>
      <c r="D91" s="15" t="str">
        <f>IF(C91="","",IF(C91=C90, "", SUMIFS('2024'!D:D,C:C, C91)))</f>
        <v/>
      </c>
      <c r="E91" s="3" t="str">
        <f>IF(C91="","",IF(C91=C90, "", SUMIFS('2024'!U:U,C:C, C91)))</f>
        <v/>
      </c>
    </row>
    <row r="92" spans="1:5">
      <c r="A92">
        <v>113</v>
      </c>
      <c r="C92" s="16" t="str">
        <f>IFERROR(IF(ISBLANK('2024'!A92), C91,INDEX('2024'!$A$2:$A$369, MATCH(A92, '2024'!$B$2:$B$369, 0)) - WEEKDAY(INDEX('2024'!$A$2:$A$369, MATCH(A92, '2024'!$B$2:$B$369, 0)), 2) + 1), "")</f>
        <v/>
      </c>
      <c r="D92" s="15" t="str">
        <f>IF(C92="","",IF(C92=C91, "", SUMIFS('2024'!D:D,C:C, C92)))</f>
        <v/>
      </c>
      <c r="E92" s="3" t="str">
        <f>IF(C92="","",IF(C92=C91, "", SUMIFS('2024'!U:U,C:C, C92)))</f>
        <v/>
      </c>
    </row>
    <row r="93" spans="1:5">
      <c r="A93">
        <v>114</v>
      </c>
      <c r="C93" s="16" t="str">
        <f>IFERROR(IF(ISBLANK('2024'!A93), C92,INDEX('2024'!$A$2:$A$369, MATCH(A93, '2024'!$B$2:$B$369, 0)) - WEEKDAY(INDEX('2024'!$A$2:$A$369, MATCH(A93, '2024'!$B$2:$B$369, 0)), 2) + 1), "")</f>
        <v/>
      </c>
      <c r="D93" s="15" t="str">
        <f>IF(C93="","",IF(C93=C92, "", SUMIFS('2024'!D:D,C:C, C93)))</f>
        <v/>
      </c>
      <c r="E93" s="3" t="str">
        <f>IF(C93="","",IF(C93=C92, "", SUMIFS('2024'!U:U,C:C, C93)))</f>
        <v/>
      </c>
    </row>
    <row r="94" spans="1:5">
      <c r="A94">
        <v>115</v>
      </c>
      <c r="C94" s="16" t="str">
        <f>IFERROR(IF(ISBLANK('2024'!A94), C93,INDEX('2024'!$A$2:$A$369, MATCH(A94, '2024'!$B$2:$B$369, 0)) - WEEKDAY(INDEX('2024'!$A$2:$A$369, MATCH(A94, '2024'!$B$2:$B$369, 0)), 2) + 1), "")</f>
        <v/>
      </c>
      <c r="D94" s="15" t="str">
        <f>IF(C94="","",IF(C94=C93, "", SUMIFS('2024'!D:D,C:C, C94)))</f>
        <v/>
      </c>
      <c r="E94" s="3" t="str">
        <f>IF(C94="","",IF(C94=C93, "", SUMIFS('2024'!U:U,C:C, C94)))</f>
        <v/>
      </c>
    </row>
    <row r="95" spans="1:5">
      <c r="A95">
        <v>116</v>
      </c>
      <c r="C95" s="16" t="str">
        <f>IFERROR(IF(ISBLANK('2024'!A95), C94,INDEX('2024'!$A$2:$A$369, MATCH(A95, '2024'!$B$2:$B$369, 0)) - WEEKDAY(INDEX('2024'!$A$2:$A$369, MATCH(A95, '2024'!$B$2:$B$369, 0)), 2) + 1), "")</f>
        <v/>
      </c>
      <c r="D95" s="15" t="str">
        <f>IF(C95="","",IF(C95=C94, "", SUMIFS('2024'!D:D,C:C, C95)))</f>
        <v/>
      </c>
      <c r="E95" s="3" t="str">
        <f>IF(C95="","",IF(C95=C94, "", SUMIFS('2024'!U:U,C:C, C95)))</f>
        <v/>
      </c>
    </row>
    <row r="96" spans="1:5">
      <c r="A96">
        <v>117</v>
      </c>
      <c r="C96" s="16" t="str">
        <f>IFERROR(IF(ISBLANK('2024'!A96), C95,INDEX('2024'!$A$2:$A$369, MATCH(A96, '2024'!$B$2:$B$369, 0)) - WEEKDAY(INDEX('2024'!$A$2:$A$369, MATCH(A96, '2024'!$B$2:$B$369, 0)), 2) + 1), "")</f>
        <v/>
      </c>
      <c r="D96" s="15" t="str">
        <f>IF(C96="","",IF(C96=C95, "", SUMIFS('2024'!D:D,C:C, C96)))</f>
        <v/>
      </c>
      <c r="E96" s="3" t="str">
        <f>IF(C96="","",IF(C96=C95, "", SUMIFS('2024'!U:U,C:C, C96)))</f>
        <v/>
      </c>
    </row>
    <row r="97" spans="1:5">
      <c r="A97">
        <v>118</v>
      </c>
      <c r="C97" s="16" t="str">
        <f>IFERROR(IF(ISBLANK('2024'!A97), C96,INDEX('2024'!$A$2:$A$369, MATCH(A97, '2024'!$B$2:$B$369, 0)) - WEEKDAY(INDEX('2024'!$A$2:$A$369, MATCH(A97, '2024'!$B$2:$B$369, 0)), 2) + 1), "")</f>
        <v/>
      </c>
      <c r="D97" s="15" t="str">
        <f>IF(C97="","",IF(C97=C96, "", SUMIFS('2024'!D:D,C:C, C97)))</f>
        <v/>
      </c>
      <c r="E97" s="3" t="str">
        <f>IF(C97="","",IF(C97=C96, "", SUMIFS('2024'!U:U,C:C, C97)))</f>
        <v/>
      </c>
    </row>
    <row r="98" spans="1:5">
      <c r="A98">
        <v>119</v>
      </c>
      <c r="C98" s="16" t="str">
        <f>IFERROR(IF(ISBLANK('2024'!A98), C97,INDEX('2024'!$A$2:$A$369, MATCH(A98, '2024'!$B$2:$B$369, 0)) - WEEKDAY(INDEX('2024'!$A$2:$A$369, MATCH(A98, '2024'!$B$2:$B$369, 0)), 2) + 1), "")</f>
        <v/>
      </c>
      <c r="D98" s="15" t="str">
        <f>IF(C98="","",IF(C98=C97, "", SUMIFS('2024'!D:D,C:C, C98)))</f>
        <v/>
      </c>
      <c r="E98" s="3" t="str">
        <f>IF(C98="","",IF(C98=C97, "", SUMIFS('2024'!U:U,C:C, C98)))</f>
        <v/>
      </c>
    </row>
    <row r="99" spans="1:5">
      <c r="A99">
        <v>120</v>
      </c>
      <c r="C99" s="16" t="str">
        <f>IFERROR(IF(ISBLANK('2024'!A99), C98,INDEX('2024'!$A$2:$A$369, MATCH(A99, '2024'!$B$2:$B$369, 0)) - WEEKDAY(INDEX('2024'!$A$2:$A$369, MATCH(A99, '2024'!$B$2:$B$369, 0)), 2) + 1), "")</f>
        <v/>
      </c>
      <c r="D99" s="15" t="str">
        <f>IF(C99="","",IF(C99=C98, "", SUMIFS('2024'!D:D,C:C, C99)))</f>
        <v/>
      </c>
      <c r="E99" s="3" t="str">
        <f>IF(C99="","",IF(C99=C98, "", SUMIFS('2024'!U:U,C:C, C99)))</f>
        <v/>
      </c>
    </row>
    <row r="100" spans="1:5">
      <c r="A100">
        <v>121</v>
      </c>
      <c r="C100" s="16" t="str">
        <f>IFERROR(IF(ISBLANK('2024'!A100), C99,INDEX('2024'!$A$2:$A$369, MATCH(A100, '2024'!$B$2:$B$369, 0)) - WEEKDAY(INDEX('2024'!$A$2:$A$369, MATCH(A100, '2024'!$B$2:$B$369, 0)), 2) + 1), "")</f>
        <v/>
      </c>
      <c r="D100" s="15" t="str">
        <f>IF(C100="","",IF(C100=C99, "", SUMIFS('2024'!D:D,C:C, C100)))</f>
        <v/>
      </c>
      <c r="E100" s="3" t="str">
        <f>IF(C100="","",IF(C100=C99, "", SUMIFS('2024'!U:U,C:C, C100)))</f>
        <v/>
      </c>
    </row>
    <row r="101" spans="1:5">
      <c r="A101">
        <v>122</v>
      </c>
      <c r="C101" s="16" t="str">
        <f>IFERROR(IF(ISBLANK('2024'!A101), C100,INDEX('2024'!$A$2:$A$369, MATCH(A101, '2024'!$B$2:$B$369, 0)) - WEEKDAY(INDEX('2024'!$A$2:$A$369, MATCH(A101, '2024'!$B$2:$B$369, 0)), 2) + 1), "")</f>
        <v/>
      </c>
      <c r="D101" s="15" t="str">
        <f>IF(C101="","",IF(C101=C100, "", SUMIFS('2024'!D:D,C:C, C101)))</f>
        <v/>
      </c>
      <c r="E101" s="3" t="str">
        <f>IF(C101="","",IF(C101=C100, "", SUMIFS('2024'!U:U,C:C, C101)))</f>
        <v/>
      </c>
    </row>
    <row r="102" spans="1:5">
      <c r="A102">
        <v>123</v>
      </c>
      <c r="C102" s="16" t="str">
        <f>IFERROR(IF(ISBLANK('2024'!A102), C101,INDEX('2024'!$A$2:$A$369, MATCH(A102, '2024'!$B$2:$B$369, 0)) - WEEKDAY(INDEX('2024'!$A$2:$A$369, MATCH(A102, '2024'!$B$2:$B$369, 0)), 2) + 1), "")</f>
        <v/>
      </c>
      <c r="D102" s="15" t="str">
        <f>IF(C102="","",IF(C102=C101, "", SUMIFS('2024'!D:D,C:C, C102)))</f>
        <v/>
      </c>
      <c r="E102" s="3" t="str">
        <f>IF(C102="","",IF(C102=C101, "", SUMIFS('2024'!U:U,C:C, C102)))</f>
        <v/>
      </c>
    </row>
    <row r="103" spans="1:5">
      <c r="A103">
        <v>124</v>
      </c>
      <c r="C103" s="16" t="str">
        <f>IFERROR(IF(ISBLANK('2024'!A103), C102,INDEX('2024'!$A$2:$A$369, MATCH(A103, '2024'!$B$2:$B$369, 0)) - WEEKDAY(INDEX('2024'!$A$2:$A$369, MATCH(A103, '2024'!$B$2:$B$369, 0)), 2) + 1), "")</f>
        <v/>
      </c>
      <c r="D103" s="15" t="str">
        <f>IF(C103="","",IF(C103=C102, "", SUMIFS('2024'!D:D,C:C, C103)))</f>
        <v/>
      </c>
      <c r="E103" s="3" t="str">
        <f>IF(C103="","",IF(C103=C102, "", SUMIFS('2024'!U:U,C:C, C103)))</f>
        <v/>
      </c>
    </row>
    <row r="104" spans="1:5">
      <c r="A104">
        <v>125</v>
      </c>
      <c r="C104" s="16" t="str">
        <f>IFERROR(IF(ISBLANK('2024'!A104), C103,INDEX('2024'!$A$2:$A$369, MATCH(A104, '2024'!$B$2:$B$369, 0)) - WEEKDAY(INDEX('2024'!$A$2:$A$369, MATCH(A104, '2024'!$B$2:$B$369, 0)), 2) + 1), "")</f>
        <v/>
      </c>
      <c r="D104" s="15" t="str">
        <f>IF(C104="","",IF(C104=C103, "", SUMIFS('2024'!D:D,C:C, C104)))</f>
        <v/>
      </c>
      <c r="E104" s="3" t="str">
        <f>IF(C104="","",IF(C104=C103, "", SUMIFS('2024'!U:U,C:C, C104)))</f>
        <v/>
      </c>
    </row>
    <row r="105" spans="1:5">
      <c r="A105">
        <v>126</v>
      </c>
      <c r="C105" s="16" t="str">
        <f>IFERROR(IF(ISBLANK('2024'!A105), C104,INDEX('2024'!$A$2:$A$369, MATCH(A105, '2024'!$B$2:$B$369, 0)) - WEEKDAY(INDEX('2024'!$A$2:$A$369, MATCH(A105, '2024'!$B$2:$B$369, 0)), 2) + 1), "")</f>
        <v/>
      </c>
      <c r="D105" s="15" t="str">
        <f>IF(C105="","",IF(C105=C104, "", SUMIFS('2024'!D:D,C:C, C105)))</f>
        <v/>
      </c>
      <c r="E105" s="3" t="str">
        <f>IF(C105="","",IF(C105=C104, "", SUMIFS('2024'!U:U,C:C, C105)))</f>
        <v/>
      </c>
    </row>
    <row r="106" spans="1:5">
      <c r="A106">
        <v>127</v>
      </c>
      <c r="C106" s="16" t="str">
        <f>IFERROR(IF(ISBLANK('2024'!A106), C105,INDEX('2024'!$A$2:$A$369, MATCH(A106, '2024'!$B$2:$B$369, 0)) - WEEKDAY(INDEX('2024'!$A$2:$A$369, MATCH(A106, '2024'!$B$2:$B$369, 0)), 2) + 1), "")</f>
        <v/>
      </c>
      <c r="D106" s="15" t="str">
        <f>IF(C106="","",IF(C106=C105, "", SUMIFS('2024'!D:D,C:C, C106)))</f>
        <v/>
      </c>
      <c r="E106" s="3" t="str">
        <f>IF(C106="","",IF(C106=C105, "", SUMIFS('2024'!U:U,C:C, C106)))</f>
        <v/>
      </c>
    </row>
    <row r="107" spans="1:5">
      <c r="A107">
        <v>128</v>
      </c>
      <c r="C107" s="16" t="str">
        <f>IFERROR(IF(ISBLANK('2024'!A107), C106,INDEX('2024'!$A$2:$A$369, MATCH(A107, '2024'!$B$2:$B$369, 0)) - WEEKDAY(INDEX('2024'!$A$2:$A$369, MATCH(A107, '2024'!$B$2:$B$369, 0)), 2) + 1), "")</f>
        <v/>
      </c>
      <c r="D107" s="15" t="str">
        <f>IF(C107="","",IF(C107=C106, "", SUMIFS('2024'!D:D,C:C, C107)))</f>
        <v/>
      </c>
      <c r="E107" s="3" t="str">
        <f>IF(C107="","",IF(C107=C106, "", SUMIFS('2024'!U:U,C:C, C107)))</f>
        <v/>
      </c>
    </row>
    <row r="108" spans="1:5">
      <c r="A108">
        <v>129</v>
      </c>
      <c r="C108" s="16" t="str">
        <f>IFERROR(IF(ISBLANK('2024'!A108), C107,INDEX('2024'!$A$2:$A$369, MATCH(A108, '2024'!$B$2:$B$369, 0)) - WEEKDAY(INDEX('2024'!$A$2:$A$369, MATCH(A108, '2024'!$B$2:$B$369, 0)), 2) + 1), "")</f>
        <v/>
      </c>
      <c r="D108" s="15" t="str">
        <f>IF(C108="","",IF(C108=C107, "", SUMIFS('2024'!D:D,C:C, C108)))</f>
        <v/>
      </c>
      <c r="E108" s="3" t="str">
        <f>IF(C108="","",IF(C108=C107, "", SUMIFS('2024'!U:U,C:C, C108)))</f>
        <v/>
      </c>
    </row>
    <row r="109" spans="1:5">
      <c r="A109">
        <v>130</v>
      </c>
      <c r="C109" s="16" t="str">
        <f>IFERROR(IF(ISBLANK('2024'!A109), C108,INDEX('2024'!$A$2:$A$369, MATCH(A109, '2024'!$B$2:$B$369, 0)) - WEEKDAY(INDEX('2024'!$A$2:$A$369, MATCH(A109, '2024'!$B$2:$B$369, 0)), 2) + 1), "")</f>
        <v/>
      </c>
      <c r="D109" s="15" t="str">
        <f>IF(C109="","",IF(C109=C108, "", SUMIFS('2024'!D:D,C:C, C109)))</f>
        <v/>
      </c>
      <c r="E109" s="3" t="str">
        <f>IF(C109="","",IF(C109=C108, "", SUMIFS('2024'!U:U,C:C, C109)))</f>
        <v/>
      </c>
    </row>
    <row r="110" spans="1:5">
      <c r="A110">
        <v>131</v>
      </c>
      <c r="C110" s="16" t="str">
        <f>IFERROR(IF(ISBLANK('2024'!A110), C109,INDEX('2024'!$A$2:$A$369, MATCH(A110, '2024'!$B$2:$B$369, 0)) - WEEKDAY(INDEX('2024'!$A$2:$A$369, MATCH(A110, '2024'!$B$2:$B$369, 0)), 2) + 1), "")</f>
        <v/>
      </c>
      <c r="D110" s="15" t="str">
        <f>IF(C110="","",IF(C110=C109, "", SUMIFS('2024'!D:D,C:C, C110)))</f>
        <v/>
      </c>
      <c r="E110" s="3" t="str">
        <f>IF(C110="","",IF(C110=C109, "", SUMIFS('2024'!U:U,C:C, C110)))</f>
        <v/>
      </c>
    </row>
    <row r="111" spans="1:5">
      <c r="A111">
        <v>132</v>
      </c>
      <c r="C111" s="16" t="str">
        <f>IFERROR(IF(ISBLANK('2024'!A111), C110,INDEX('2024'!$A$2:$A$369, MATCH(A111, '2024'!$B$2:$B$369, 0)) - WEEKDAY(INDEX('2024'!$A$2:$A$369, MATCH(A111, '2024'!$B$2:$B$369, 0)), 2) + 1), "")</f>
        <v/>
      </c>
      <c r="D111" s="15" t="str">
        <f>IF(C111="","",IF(C111=C110, "", SUMIFS('2024'!D:D,C:C, C111)))</f>
        <v/>
      </c>
      <c r="E111" s="3" t="str">
        <f>IF(C111="","",IF(C111=C110, "", SUMIFS('2024'!U:U,C:C, C111)))</f>
        <v/>
      </c>
    </row>
    <row r="112" spans="1:5">
      <c r="A112">
        <v>133</v>
      </c>
      <c r="C112" s="16" t="str">
        <f>IFERROR(IF(ISBLANK('2024'!A112), C111,INDEX('2024'!$A$2:$A$369, MATCH(A112, '2024'!$B$2:$B$369, 0)) - WEEKDAY(INDEX('2024'!$A$2:$A$369, MATCH(A112, '2024'!$B$2:$B$369, 0)), 2) + 1), "")</f>
        <v/>
      </c>
      <c r="D112" s="15" t="str">
        <f>IF(C112="","",IF(C112=C111, "", SUMIFS('2024'!D:D,C:C, C112)))</f>
        <v/>
      </c>
      <c r="E112" s="3" t="str">
        <f>IF(C112="","",IF(C112=C111, "", SUMIFS('2024'!U:U,C:C, C112)))</f>
        <v/>
      </c>
    </row>
    <row r="113" spans="1:5">
      <c r="A113">
        <v>134</v>
      </c>
      <c r="C113" s="16" t="str">
        <f>IFERROR(IF(ISBLANK('2024'!A113), C112,INDEX('2024'!$A$2:$A$369, MATCH(A113, '2024'!$B$2:$B$369, 0)) - WEEKDAY(INDEX('2024'!$A$2:$A$369, MATCH(A113, '2024'!$B$2:$B$369, 0)), 2) + 1), "")</f>
        <v/>
      </c>
      <c r="D113" s="15" t="str">
        <f>IF(C113="","",IF(C113=C112, "", SUMIFS('2024'!D:D,C:C, C113)))</f>
        <v/>
      </c>
      <c r="E113" s="3" t="str">
        <f>IF(C113="","",IF(C113=C112, "", SUMIFS('2024'!U:U,C:C, C113)))</f>
        <v/>
      </c>
    </row>
    <row r="114" spans="1:5">
      <c r="A114">
        <v>135</v>
      </c>
      <c r="C114" s="16" t="str">
        <f>IFERROR(IF(ISBLANK('2024'!A114), C113,INDEX('2024'!$A$2:$A$369, MATCH(A114, '2024'!$B$2:$B$369, 0)) - WEEKDAY(INDEX('2024'!$A$2:$A$369, MATCH(A114, '2024'!$B$2:$B$369, 0)), 2) + 1), "")</f>
        <v/>
      </c>
      <c r="D114" s="15" t="str">
        <f>IF(C114="","",IF(C114=C113, "", SUMIFS('2024'!D:D,C:C, C114)))</f>
        <v/>
      </c>
      <c r="E114" s="3" t="str">
        <f>IF(C114="","",IF(C114=C113, "", SUMIFS('2024'!U:U,C:C, C114)))</f>
        <v/>
      </c>
    </row>
    <row r="115" spans="1:5">
      <c r="A115">
        <v>136</v>
      </c>
      <c r="C115" s="16" t="str">
        <f>IFERROR(IF(ISBLANK('2024'!A115), C114,INDEX('2024'!$A$2:$A$369, MATCH(A115, '2024'!$B$2:$B$369, 0)) - WEEKDAY(INDEX('2024'!$A$2:$A$369, MATCH(A115, '2024'!$B$2:$B$369, 0)), 2) + 1), "")</f>
        <v/>
      </c>
      <c r="D115" s="15" t="str">
        <f>IF(C115="","",IF(C115=C114, "", SUMIFS('2024'!D:D,C:C, C115)))</f>
        <v/>
      </c>
      <c r="E115" s="3" t="str">
        <f>IF(C115="","",IF(C115=C114, "", SUMIFS('2024'!U:U,C:C, C115)))</f>
        <v/>
      </c>
    </row>
    <row r="116" spans="1:5">
      <c r="A116">
        <v>137</v>
      </c>
      <c r="C116" s="16" t="str">
        <f>IFERROR(IF(ISBLANK('2024'!A116), C115,INDEX('2024'!$A$2:$A$369, MATCH(A116, '2024'!$B$2:$B$369, 0)) - WEEKDAY(INDEX('2024'!$A$2:$A$369, MATCH(A116, '2024'!$B$2:$B$369, 0)), 2) + 1), "")</f>
        <v/>
      </c>
      <c r="D116" s="15" t="str">
        <f>IF(C116="","",IF(C116=C115, "", SUMIFS('2024'!D:D,C:C, C116)))</f>
        <v/>
      </c>
      <c r="E116" s="3" t="str">
        <f>IF(C116="","",IF(C116=C115, "", SUMIFS('2024'!U:U,C:C, C116)))</f>
        <v/>
      </c>
    </row>
    <row r="117" spans="1:5">
      <c r="A117">
        <v>138</v>
      </c>
      <c r="C117" s="16" t="str">
        <f>IFERROR(IF(ISBLANK('2024'!A117), C116,INDEX('2024'!$A$2:$A$369, MATCH(A117, '2024'!$B$2:$B$369, 0)) - WEEKDAY(INDEX('2024'!$A$2:$A$369, MATCH(A117, '2024'!$B$2:$B$369, 0)), 2) + 1), "")</f>
        <v/>
      </c>
      <c r="D117" s="15" t="str">
        <f>IF(C117="","",IF(C117=C116, "", SUMIFS('2024'!D:D,C:C, C117)))</f>
        <v/>
      </c>
      <c r="E117" s="3" t="str">
        <f>IF(C117="","",IF(C117=C116, "", SUMIFS('2024'!U:U,C:C, C117)))</f>
        <v/>
      </c>
    </row>
    <row r="118" spans="1:5">
      <c r="A118">
        <v>139</v>
      </c>
      <c r="C118" s="16" t="str">
        <f>IFERROR(IF(ISBLANK('2024'!A118), C117,INDEX('2024'!$A$2:$A$369, MATCH(A118, '2024'!$B$2:$B$369, 0)) - WEEKDAY(INDEX('2024'!$A$2:$A$369, MATCH(A118, '2024'!$B$2:$B$369, 0)), 2) + 1), "")</f>
        <v/>
      </c>
      <c r="D118" s="15" t="str">
        <f>IF(C118="","",IF(C118=C117, "", SUMIFS('2024'!D:D,C:C, C118)))</f>
        <v/>
      </c>
      <c r="E118" s="3" t="str">
        <f>IF(C118="","",IF(C118=C117, "", SUMIFS('2024'!U:U,C:C, C118)))</f>
        <v/>
      </c>
    </row>
    <row r="119" spans="1:5">
      <c r="A119">
        <v>140</v>
      </c>
      <c r="C119" s="16" t="str">
        <f>IFERROR(IF(ISBLANK('2024'!A119), C118,INDEX('2024'!$A$2:$A$369, MATCH(A119, '2024'!$B$2:$B$369, 0)) - WEEKDAY(INDEX('2024'!$A$2:$A$369, MATCH(A119, '2024'!$B$2:$B$369, 0)), 2) + 1), "")</f>
        <v/>
      </c>
      <c r="D119" s="15" t="str">
        <f>IF(C119="","",IF(C119=C118, "", SUMIFS('2024'!D:D,C:C, C119)))</f>
        <v/>
      </c>
      <c r="E119" s="3" t="str">
        <f>IF(C119="","",IF(C119=C118, "", SUMIFS('2024'!U:U,C:C, C119)))</f>
        <v/>
      </c>
    </row>
    <row r="120" spans="1:5">
      <c r="A120">
        <v>141</v>
      </c>
      <c r="C120" s="16" t="str">
        <f>IFERROR(IF(ISBLANK('2024'!A120), C119,INDEX('2024'!$A$2:$A$369, MATCH(A120, '2024'!$B$2:$B$369, 0)) - WEEKDAY(INDEX('2024'!$A$2:$A$369, MATCH(A120, '2024'!$B$2:$B$369, 0)), 2) + 1), "")</f>
        <v/>
      </c>
      <c r="D120" s="15" t="str">
        <f>IF(C120="","",IF(C120=C119, "", SUMIFS('2024'!D:D,C:C, C120)))</f>
        <v/>
      </c>
      <c r="E120" s="3" t="str">
        <f>IF(C120="","",IF(C120=C119, "", SUMIFS('2024'!U:U,C:C, C120)))</f>
        <v/>
      </c>
    </row>
    <row r="121" spans="1:5">
      <c r="A121">
        <v>142</v>
      </c>
      <c r="C121" s="16" t="str">
        <f>IFERROR(IF(ISBLANK('2024'!A121), C120,INDEX('2024'!$A$2:$A$369, MATCH(A121, '2024'!$B$2:$B$369, 0)) - WEEKDAY(INDEX('2024'!$A$2:$A$369, MATCH(A121, '2024'!$B$2:$B$369, 0)), 2) + 1), "")</f>
        <v/>
      </c>
      <c r="D121" s="15" t="str">
        <f>IF(C121="","",IF(C121=C120, "", SUMIFS('2024'!D:D,C:C, C121)))</f>
        <v/>
      </c>
      <c r="E121" s="3" t="str">
        <f>IF(C121="","",IF(C121=C120, "", SUMIFS('2024'!U:U,C:C, C121)))</f>
        <v/>
      </c>
    </row>
    <row r="122" spans="1:5">
      <c r="A122">
        <v>143</v>
      </c>
      <c r="C122" s="16" t="str">
        <f>IFERROR(IF(ISBLANK('2024'!A122), C121,INDEX('2024'!$A$2:$A$369, MATCH(A122, '2024'!$B$2:$B$369, 0)) - WEEKDAY(INDEX('2024'!$A$2:$A$369, MATCH(A122, '2024'!$B$2:$B$369, 0)), 2) + 1), "")</f>
        <v/>
      </c>
      <c r="D122" s="15" t="str">
        <f>IF(C122="","",IF(C122=C121, "", SUMIFS('2024'!D:D,C:C, C122)))</f>
        <v/>
      </c>
      <c r="E122" s="3" t="str">
        <f>IF(C122="","",IF(C122=C121, "", SUMIFS('2024'!U:U,C:C, C122)))</f>
        <v/>
      </c>
    </row>
    <row r="123" spans="1:5">
      <c r="A123">
        <v>144</v>
      </c>
      <c r="C123" s="16" t="str">
        <f>IFERROR(IF(ISBLANK('2024'!A123), C122,INDEX('2024'!$A$2:$A$369, MATCH(A123, '2024'!$B$2:$B$369, 0)) - WEEKDAY(INDEX('2024'!$A$2:$A$369, MATCH(A123, '2024'!$B$2:$B$369, 0)), 2) + 1), "")</f>
        <v/>
      </c>
      <c r="D123" s="15" t="str">
        <f>IF(C123="","",IF(C123=C122, "", SUMIFS('2024'!D:D,C:C, C123)))</f>
        <v/>
      </c>
      <c r="E123" s="3" t="str">
        <f>IF(C123="","",IF(C123=C122, "", SUMIFS('2024'!U:U,C:C, C123)))</f>
        <v/>
      </c>
    </row>
    <row r="124" spans="1:5">
      <c r="A124">
        <v>145</v>
      </c>
      <c r="C124" s="16" t="str">
        <f>IFERROR(IF(ISBLANK('2024'!A124), C123,INDEX('2024'!$A$2:$A$369, MATCH(A124, '2024'!$B$2:$B$369, 0)) - WEEKDAY(INDEX('2024'!$A$2:$A$369, MATCH(A124, '2024'!$B$2:$B$369, 0)), 2) + 1), "")</f>
        <v/>
      </c>
      <c r="D124" s="15" t="str">
        <f>IF(C124="","",IF(C124=C123, "", SUMIFS('2024'!D:D,C:C, C124)))</f>
        <v/>
      </c>
      <c r="E124" s="3" t="str">
        <f>IF(C124="","",IF(C124=C123, "", SUMIFS('2024'!U:U,C:C, C124)))</f>
        <v/>
      </c>
    </row>
    <row r="125" spans="1:5">
      <c r="A125">
        <v>146</v>
      </c>
      <c r="C125" s="16" t="str">
        <f>IFERROR(IF(ISBLANK('2024'!A125), C124,INDEX('2024'!$A$2:$A$369, MATCH(A125, '2024'!$B$2:$B$369, 0)) - WEEKDAY(INDEX('2024'!$A$2:$A$369, MATCH(A125, '2024'!$B$2:$B$369, 0)), 2) + 1), "")</f>
        <v/>
      </c>
      <c r="D125" s="15" t="str">
        <f>IF(C125="","",IF(C125=C124, "", SUMIFS('2024'!D:D,C:C, C125)))</f>
        <v/>
      </c>
      <c r="E125" s="3" t="str">
        <f>IF(C125="","",IF(C125=C124, "", SUMIFS('2024'!U:U,C:C, C125)))</f>
        <v/>
      </c>
    </row>
    <row r="126" spans="1:5">
      <c r="A126">
        <v>147</v>
      </c>
      <c r="C126" s="16" t="str">
        <f>IFERROR(IF(ISBLANK('2024'!A126), C125,INDEX('2024'!$A$2:$A$369, MATCH(A126, '2024'!$B$2:$B$369, 0)) - WEEKDAY(INDEX('2024'!$A$2:$A$369, MATCH(A126, '2024'!$B$2:$B$369, 0)), 2) + 1), "")</f>
        <v/>
      </c>
      <c r="D126" s="15" t="str">
        <f>IF(C126="","",IF(C126=C125, "", SUMIFS('2024'!D:D,C:C, C126)))</f>
        <v/>
      </c>
      <c r="E126" s="3" t="str">
        <f>IF(C126="","",IF(C126=C125, "", SUMIFS('2024'!U:U,C:C, C126)))</f>
        <v/>
      </c>
    </row>
    <row r="127" spans="1:5">
      <c r="A127">
        <v>148</v>
      </c>
      <c r="C127" s="16" t="str">
        <f>IFERROR(IF(ISBLANK('2024'!A127), C126,INDEX('2024'!$A$2:$A$369, MATCH(A127, '2024'!$B$2:$B$369, 0)) - WEEKDAY(INDEX('2024'!$A$2:$A$369, MATCH(A127, '2024'!$B$2:$B$369, 0)), 2) + 1), "")</f>
        <v/>
      </c>
      <c r="D127" s="15" t="str">
        <f>IF(C127="","",IF(C127=C126, "", SUMIFS('2024'!D:D,C:C, C127)))</f>
        <v/>
      </c>
      <c r="E127" s="3" t="str">
        <f>IF(C127="","",IF(C127=C126, "", SUMIFS('2024'!U:U,C:C, C127)))</f>
        <v/>
      </c>
    </row>
    <row r="128" spans="1:5">
      <c r="A128">
        <v>149</v>
      </c>
      <c r="C128" s="16" t="str">
        <f>IFERROR(IF(ISBLANK('2024'!A128), C127,INDEX('2024'!$A$2:$A$369, MATCH(A128, '2024'!$B$2:$B$369, 0)) - WEEKDAY(INDEX('2024'!$A$2:$A$369, MATCH(A128, '2024'!$B$2:$B$369, 0)), 2) + 1), "")</f>
        <v/>
      </c>
      <c r="D128" s="15" t="str">
        <f>IF(C128="","",IF(C128=C127, "", SUMIFS('2024'!D:D,C:C, C128)))</f>
        <v/>
      </c>
      <c r="E128" s="3" t="str">
        <f>IF(C128="","",IF(C128=C127, "", SUMIFS('2024'!U:U,C:C, C128)))</f>
        <v/>
      </c>
    </row>
    <row r="129" spans="1:5">
      <c r="A129">
        <v>150</v>
      </c>
      <c r="C129" s="16" t="str">
        <f>IFERROR(IF(ISBLANK('2024'!A129), C128,INDEX('2024'!$A$2:$A$369, MATCH(A129, '2024'!$B$2:$B$369, 0)) - WEEKDAY(INDEX('2024'!$A$2:$A$369, MATCH(A129, '2024'!$B$2:$B$369, 0)), 2) + 1), "")</f>
        <v/>
      </c>
      <c r="D129" s="15" t="str">
        <f>IF(C129="","",IF(C129=C128, "", SUMIFS('2024'!D:D,C:C, C129)))</f>
        <v/>
      </c>
      <c r="E129" s="3" t="str">
        <f>IF(C129="","",IF(C129=C128, "", SUMIFS('2024'!U:U,C:C, C129)))</f>
        <v/>
      </c>
    </row>
    <row r="130" spans="1:5">
      <c r="A130">
        <v>151</v>
      </c>
      <c r="C130" s="16" t="str">
        <f>IFERROR(IF(ISBLANK('2024'!A130), C129,INDEX('2024'!$A$2:$A$369, MATCH(A130, '2024'!$B$2:$B$369, 0)) - WEEKDAY(INDEX('2024'!$A$2:$A$369, MATCH(A130, '2024'!$B$2:$B$369, 0)), 2) + 1), "")</f>
        <v/>
      </c>
      <c r="D130" s="15" t="str">
        <f>IF(C130="","",IF(C130=C129, "", SUMIFS('2024'!D:D,C:C, C130)))</f>
        <v/>
      </c>
      <c r="E130" s="3" t="str">
        <f>IF(C130="","",IF(C130=C129, "", SUMIFS('2024'!U:U,C:C, C130)))</f>
        <v/>
      </c>
    </row>
    <row r="131" spans="1:5">
      <c r="A131">
        <v>152</v>
      </c>
      <c r="C131" s="16" t="str">
        <f>IFERROR(IF(ISBLANK('2024'!A131), C130,INDEX('2024'!$A$2:$A$369, MATCH(A131, '2024'!$B$2:$B$369, 0)) - WEEKDAY(INDEX('2024'!$A$2:$A$369, MATCH(A131, '2024'!$B$2:$B$369, 0)), 2) + 1), "")</f>
        <v/>
      </c>
      <c r="D131" s="15" t="str">
        <f>IF(C131="","",IF(C131=C130, "", SUMIFS('2024'!D:D,C:C, C131)))</f>
        <v/>
      </c>
      <c r="E131" s="3" t="str">
        <f>IF(C131="","",IF(C131=C130, "", SUMIFS('2024'!U:U,C:C, C131)))</f>
        <v/>
      </c>
    </row>
    <row r="132" spans="1:5">
      <c r="A132">
        <v>153</v>
      </c>
      <c r="C132" s="16" t="str">
        <f>IFERROR(IF(ISBLANK('2024'!A132), C131,INDEX('2024'!$A$2:$A$369, MATCH(A132, '2024'!$B$2:$B$369, 0)) - WEEKDAY(INDEX('2024'!$A$2:$A$369, MATCH(A132, '2024'!$B$2:$B$369, 0)), 2) + 1), "")</f>
        <v/>
      </c>
      <c r="D132" s="15" t="str">
        <f>IF(C132="","",IF(C132=C131, "", SUMIFS('2024'!D:D,C:C, C132)))</f>
        <v/>
      </c>
      <c r="E132" s="3" t="str">
        <f>IF(C132="","",IF(C132=C131, "", SUMIFS('2024'!U:U,C:C, C132)))</f>
        <v/>
      </c>
    </row>
    <row r="133" spans="1:5">
      <c r="A133">
        <v>154</v>
      </c>
      <c r="C133" s="16" t="str">
        <f>IFERROR(IF(ISBLANK('2024'!A133), C132,INDEX('2024'!$A$2:$A$369, MATCH(A133, '2024'!$B$2:$B$369, 0)) - WEEKDAY(INDEX('2024'!$A$2:$A$369, MATCH(A133, '2024'!$B$2:$B$369, 0)), 2) + 1), "")</f>
        <v/>
      </c>
      <c r="D133" s="15" t="str">
        <f>IF(C133="","",IF(C133=C132, "", SUMIFS('2024'!D:D,C:C, C133)))</f>
        <v/>
      </c>
      <c r="E133" s="3" t="str">
        <f>IF(C133="","",IF(C133=C132, "", SUMIFS('2024'!U:U,C:C, C133)))</f>
        <v/>
      </c>
    </row>
    <row r="134" spans="1:5">
      <c r="A134">
        <v>155</v>
      </c>
      <c r="C134" s="16" t="str">
        <f>IFERROR(IF(ISBLANK('2024'!A134), C133,INDEX('2024'!$A$2:$A$369, MATCH(A134, '2024'!$B$2:$B$369, 0)) - WEEKDAY(INDEX('2024'!$A$2:$A$369, MATCH(A134, '2024'!$B$2:$B$369, 0)), 2) + 1), "")</f>
        <v/>
      </c>
      <c r="D134" s="15" t="str">
        <f>IF(C134="","",IF(C134=C133, "", SUMIFS('2024'!D:D,C:C, C134)))</f>
        <v/>
      </c>
      <c r="E134" s="3" t="str">
        <f>IF(C134="","",IF(C134=C133, "", SUMIFS('2024'!U:U,C:C, C134)))</f>
        <v/>
      </c>
    </row>
    <row r="135" spans="1:5">
      <c r="A135">
        <v>156</v>
      </c>
      <c r="C135" s="16" t="str">
        <f>IFERROR(IF(ISBLANK('2024'!A135), C134,INDEX('2024'!$A$2:$A$369, MATCH(A135, '2024'!$B$2:$B$369, 0)) - WEEKDAY(INDEX('2024'!$A$2:$A$369, MATCH(A135, '2024'!$B$2:$B$369, 0)), 2) + 1), "")</f>
        <v/>
      </c>
      <c r="D135" s="15" t="str">
        <f>IF(C135="","",IF(C135=C134, "", SUMIFS('2024'!D:D,C:C, C135)))</f>
        <v/>
      </c>
      <c r="E135" s="3" t="str">
        <f>IF(C135="","",IF(C135=C134, "", SUMIFS('2024'!U:U,C:C, C135)))</f>
        <v/>
      </c>
    </row>
    <row r="136" spans="1:5">
      <c r="A136">
        <v>157</v>
      </c>
      <c r="C136" s="16" t="str">
        <f>IFERROR(IF(ISBLANK('2024'!A136), C135,INDEX('2024'!$A$2:$A$369, MATCH(A136, '2024'!$B$2:$B$369, 0)) - WEEKDAY(INDEX('2024'!$A$2:$A$369, MATCH(A136, '2024'!$B$2:$B$369, 0)), 2) + 1), "")</f>
        <v/>
      </c>
      <c r="D136" s="15" t="str">
        <f>IF(C136="","",IF(C136=C135, "", SUMIFS('2024'!D:D,C:C, C136)))</f>
        <v/>
      </c>
      <c r="E136" s="3" t="str">
        <f>IF(C136="","",IF(C136=C135, "", SUMIFS('2024'!U:U,C:C, C136)))</f>
        <v/>
      </c>
    </row>
    <row r="137" spans="1:5">
      <c r="A137">
        <v>158</v>
      </c>
      <c r="C137" s="16" t="str">
        <f>IFERROR(IF(ISBLANK('2024'!A137), C136,INDEX('2024'!$A$2:$A$369, MATCH(A137, '2024'!$B$2:$B$369, 0)) - WEEKDAY(INDEX('2024'!$A$2:$A$369, MATCH(A137, '2024'!$B$2:$B$369, 0)), 2) + 1), "")</f>
        <v/>
      </c>
      <c r="D137" s="15" t="str">
        <f>IF(C137="","",IF(C137=C136, "", SUMIFS('2024'!D:D,C:C, C137)))</f>
        <v/>
      </c>
      <c r="E137" s="3" t="str">
        <f>IF(C137="","",IF(C137=C136, "", SUMIFS('2024'!U:U,C:C, C137)))</f>
        <v/>
      </c>
    </row>
    <row r="138" spans="1:5">
      <c r="A138">
        <v>159</v>
      </c>
      <c r="C138" s="16" t="str">
        <f>IFERROR(IF(ISBLANK('2024'!A138), C137,INDEX('2024'!$A$2:$A$369, MATCH(A138, '2024'!$B$2:$B$369, 0)) - WEEKDAY(INDEX('2024'!$A$2:$A$369, MATCH(A138, '2024'!$B$2:$B$369, 0)), 2) + 1), "")</f>
        <v/>
      </c>
      <c r="D138" s="15" t="str">
        <f>IF(C138="","",IF(C138=C137, "", SUMIFS('2024'!D:D,C:C, C138)))</f>
        <v/>
      </c>
      <c r="E138" s="3" t="str">
        <f>IF(C138="","",IF(C138=C137, "", SUMIFS('2024'!U:U,C:C, C138)))</f>
        <v/>
      </c>
    </row>
    <row r="139" spans="1:5">
      <c r="A139">
        <v>160</v>
      </c>
      <c r="C139" s="16" t="str">
        <f>IFERROR(IF(ISBLANK('2024'!A139), C138,INDEX('2024'!$A$2:$A$369, MATCH(A139, '2024'!$B$2:$B$369, 0)) - WEEKDAY(INDEX('2024'!$A$2:$A$369, MATCH(A139, '2024'!$B$2:$B$369, 0)), 2) + 1), "")</f>
        <v/>
      </c>
      <c r="D139" s="15" t="str">
        <f>IF(C139="","",IF(C139=C138, "", SUMIFS('2024'!D:D,C:C, C139)))</f>
        <v/>
      </c>
      <c r="E139" s="3" t="str">
        <f>IF(C139="","",IF(C139=C138, "", SUMIFS('2024'!U:U,C:C, C139)))</f>
        <v/>
      </c>
    </row>
    <row r="140" spans="1:5">
      <c r="A140">
        <v>161</v>
      </c>
      <c r="C140" s="16" t="str">
        <f>IFERROR(IF(ISBLANK('2024'!A140), C139,INDEX('2024'!$A$2:$A$369, MATCH(A140, '2024'!$B$2:$B$369, 0)) - WEEKDAY(INDEX('2024'!$A$2:$A$369, MATCH(A140, '2024'!$B$2:$B$369, 0)), 2) + 1), "")</f>
        <v/>
      </c>
      <c r="D140" s="15" t="str">
        <f>IF(C140="","",IF(C140=C139, "", SUMIFS('2024'!D:D,C:C, C140)))</f>
        <v/>
      </c>
      <c r="E140" s="3" t="str">
        <f>IF(C140="","",IF(C140=C139, "", SUMIFS('2024'!U:U,C:C, C140)))</f>
        <v/>
      </c>
    </row>
    <row r="141" spans="1:5">
      <c r="A141">
        <v>162</v>
      </c>
      <c r="C141" s="16" t="str">
        <f>IFERROR(IF(ISBLANK('2024'!A141), C140,INDEX('2024'!$A$2:$A$369, MATCH(A141, '2024'!$B$2:$B$369, 0)) - WEEKDAY(INDEX('2024'!$A$2:$A$369, MATCH(A141, '2024'!$B$2:$B$369, 0)), 2) + 1), "")</f>
        <v/>
      </c>
      <c r="D141" s="15" t="str">
        <f>IF(C141="","",IF(C141=C140, "", SUMIFS('2024'!D:D,C:C, C141)))</f>
        <v/>
      </c>
      <c r="E141" s="3" t="str">
        <f>IF(C141="","",IF(C141=C140, "", SUMIFS('2024'!U:U,C:C, C141)))</f>
        <v/>
      </c>
    </row>
    <row r="142" spans="1:5">
      <c r="A142">
        <v>163</v>
      </c>
      <c r="C142" s="16" t="str">
        <f>IFERROR(IF(ISBLANK('2024'!A142), C141,INDEX('2024'!$A$2:$A$369, MATCH(A142, '2024'!$B$2:$B$369, 0)) - WEEKDAY(INDEX('2024'!$A$2:$A$369, MATCH(A142, '2024'!$B$2:$B$369, 0)), 2) + 1), "")</f>
        <v/>
      </c>
      <c r="D142" s="15" t="str">
        <f>IF(C142="","",IF(C142=C141, "", SUMIFS('2024'!D:D,C:C, C142)))</f>
        <v/>
      </c>
      <c r="E142" s="3" t="str">
        <f>IF(C142="","",IF(C142=C141, "", SUMIFS('2024'!U:U,C:C, C142)))</f>
        <v/>
      </c>
    </row>
    <row r="143" spans="1:5">
      <c r="A143">
        <v>164</v>
      </c>
      <c r="C143" s="16" t="str">
        <f>IFERROR(IF(ISBLANK('2024'!A143), C142,INDEX('2024'!$A$2:$A$369, MATCH(A143, '2024'!$B$2:$B$369, 0)) - WEEKDAY(INDEX('2024'!$A$2:$A$369, MATCH(A143, '2024'!$B$2:$B$369, 0)), 2) + 1), "")</f>
        <v/>
      </c>
      <c r="D143" s="15" t="str">
        <f>IF(C143="","",IF(C143=C142, "", SUMIFS('2024'!D:D,C:C, C143)))</f>
        <v/>
      </c>
      <c r="E143" s="3" t="str">
        <f>IF(C143="","",IF(C143=C142, "", SUMIFS('2024'!U:U,C:C, C143)))</f>
        <v/>
      </c>
    </row>
    <row r="144" spans="1:5">
      <c r="A144">
        <v>165</v>
      </c>
      <c r="C144" s="16" t="str">
        <f>IFERROR(IF(ISBLANK('2024'!A144), C143,INDEX('2024'!$A$2:$A$369, MATCH(A144, '2024'!$B$2:$B$369, 0)) - WEEKDAY(INDEX('2024'!$A$2:$A$369, MATCH(A144, '2024'!$B$2:$B$369, 0)), 2) + 1), "")</f>
        <v/>
      </c>
      <c r="D144" s="15" t="str">
        <f>IF(C144="","",IF(C144=C143, "", SUMIFS('2024'!D:D,C:C, C144)))</f>
        <v/>
      </c>
      <c r="E144" s="3" t="str">
        <f>IF(C144="","",IF(C144=C143, "", SUMIFS('2024'!U:U,C:C, C144)))</f>
        <v/>
      </c>
    </row>
    <row r="145" spans="1:5">
      <c r="A145">
        <v>166</v>
      </c>
      <c r="C145" s="16" t="str">
        <f>IFERROR(IF(ISBLANK('2024'!A145), C144,INDEX('2024'!$A$2:$A$369, MATCH(A145, '2024'!$B$2:$B$369, 0)) - WEEKDAY(INDEX('2024'!$A$2:$A$369, MATCH(A145, '2024'!$B$2:$B$369, 0)), 2) + 1), "")</f>
        <v/>
      </c>
      <c r="D145" s="15" t="str">
        <f>IF(C145="","",IF(C145=C144, "", SUMIFS('2024'!D:D,C:C, C145)))</f>
        <v/>
      </c>
      <c r="E145" s="3" t="str">
        <f>IF(C145="","",IF(C145=C144, "", SUMIFS('2024'!U:U,C:C, C145)))</f>
        <v/>
      </c>
    </row>
    <row r="146" spans="1:5">
      <c r="A146">
        <v>167</v>
      </c>
      <c r="C146" s="16" t="str">
        <f>IFERROR(IF(ISBLANK('2024'!A146), C145,INDEX('2024'!$A$2:$A$369, MATCH(A146, '2024'!$B$2:$B$369, 0)) - WEEKDAY(INDEX('2024'!$A$2:$A$369, MATCH(A146, '2024'!$B$2:$B$369, 0)), 2) + 1), "")</f>
        <v/>
      </c>
      <c r="D146" s="15" t="str">
        <f>IF(C146="","",IF(C146=C145, "", SUMIFS('2024'!D:D,C:C, C146)))</f>
        <v/>
      </c>
      <c r="E146" s="3" t="str">
        <f>IF(C146="","",IF(C146=C145, "", SUMIFS('2024'!U:U,C:C, C146)))</f>
        <v/>
      </c>
    </row>
    <row r="147" spans="1:5">
      <c r="A147">
        <v>168</v>
      </c>
      <c r="C147" s="16" t="str">
        <f>IFERROR(IF(ISBLANK('2024'!A147), C146,INDEX('2024'!$A$2:$A$369, MATCH(A147, '2024'!$B$2:$B$369, 0)) - WEEKDAY(INDEX('2024'!$A$2:$A$369, MATCH(A147, '2024'!$B$2:$B$369, 0)), 2) + 1), "")</f>
        <v/>
      </c>
      <c r="D147" s="15" t="str">
        <f>IF(C147="","",IF(C147=C146, "", SUMIFS('2024'!D:D,C:C, C147)))</f>
        <v/>
      </c>
      <c r="E147" s="3" t="str">
        <f>IF(C147="","",IF(C147=C146, "", SUMIFS('2024'!U:U,C:C, C147)))</f>
        <v/>
      </c>
    </row>
    <row r="148" spans="1:5">
      <c r="A148">
        <v>169</v>
      </c>
      <c r="C148" s="16" t="str">
        <f>IFERROR(IF(ISBLANK('2024'!A148), C147,INDEX('2024'!$A$2:$A$369, MATCH(A148, '2024'!$B$2:$B$369, 0)) - WEEKDAY(INDEX('2024'!$A$2:$A$369, MATCH(A148, '2024'!$B$2:$B$369, 0)), 2) + 1), "")</f>
        <v/>
      </c>
      <c r="D148" s="15" t="str">
        <f>IF(C148="","",IF(C148=C147, "", SUMIFS('2024'!D:D,C:C, C148)))</f>
        <v/>
      </c>
      <c r="E148" s="3" t="str">
        <f>IF(C148="","",IF(C148=C147, "", SUMIFS('2024'!U:U,C:C, C148)))</f>
        <v/>
      </c>
    </row>
    <row r="149" spans="1:5">
      <c r="A149">
        <v>170</v>
      </c>
      <c r="C149" s="16" t="str">
        <f>IFERROR(IF(ISBLANK('2024'!A149), C148,INDEX('2024'!$A$2:$A$369, MATCH(A149, '2024'!$B$2:$B$369, 0)) - WEEKDAY(INDEX('2024'!$A$2:$A$369, MATCH(A149, '2024'!$B$2:$B$369, 0)), 2) + 1), "")</f>
        <v/>
      </c>
      <c r="D149" s="15" t="str">
        <f>IF(C149="","",IF(C149=C148, "", SUMIFS('2024'!D:D,C:C, C149)))</f>
        <v/>
      </c>
      <c r="E149" s="3" t="str">
        <f>IF(C149="","",IF(C149=C148, "", SUMIFS('2024'!U:U,C:C, C149)))</f>
        <v/>
      </c>
    </row>
    <row r="150" spans="1:5">
      <c r="A150">
        <v>171</v>
      </c>
      <c r="C150" s="16" t="str">
        <f>IFERROR(IF(ISBLANK('2024'!A150), C149,INDEX('2024'!$A$2:$A$369, MATCH(A150, '2024'!$B$2:$B$369, 0)) - WEEKDAY(INDEX('2024'!$A$2:$A$369, MATCH(A150, '2024'!$B$2:$B$369, 0)), 2) + 1), "")</f>
        <v/>
      </c>
      <c r="D150" s="15" t="str">
        <f>IF(C150="","",IF(C150=C149, "", SUMIFS('2024'!D:D,C:C, C150)))</f>
        <v/>
      </c>
      <c r="E150" s="3" t="str">
        <f>IF(C150="","",IF(C150=C149, "", SUMIFS('2024'!U:U,C:C, C150)))</f>
        <v/>
      </c>
    </row>
    <row r="151" spans="1:5">
      <c r="A151">
        <v>172</v>
      </c>
      <c r="C151" s="16" t="str">
        <f>IFERROR(IF(ISBLANK('2024'!A151), C150,INDEX('2024'!$A$2:$A$369, MATCH(A151, '2024'!$B$2:$B$369, 0)) - WEEKDAY(INDEX('2024'!$A$2:$A$369, MATCH(A151, '2024'!$B$2:$B$369, 0)), 2) + 1), "")</f>
        <v/>
      </c>
      <c r="D151" s="15" t="str">
        <f>IF(C151="","",IF(C151=C150, "", SUMIFS('2024'!D:D,C:C, C151)))</f>
        <v/>
      </c>
      <c r="E151" s="3" t="str">
        <f>IF(C151="","",IF(C151=C150, "", SUMIFS('2024'!U:U,C:C, C151)))</f>
        <v/>
      </c>
    </row>
    <row r="152" spans="1:5">
      <c r="A152">
        <v>173</v>
      </c>
      <c r="C152" s="16" t="str">
        <f>IFERROR(IF(ISBLANK('2024'!A152), C151,INDEX('2024'!$A$2:$A$369, MATCH(A152, '2024'!$B$2:$B$369, 0)) - WEEKDAY(INDEX('2024'!$A$2:$A$369, MATCH(A152, '2024'!$B$2:$B$369, 0)), 2) + 1), "")</f>
        <v/>
      </c>
      <c r="D152" s="15" t="str">
        <f>IF(C152="","",IF(C152=C151, "", SUMIFS('2024'!D:D,C:C, C152)))</f>
        <v/>
      </c>
      <c r="E152" s="3" t="str">
        <f>IF(C152="","",IF(C152=C151, "", SUMIFS('2024'!U:U,C:C, C152)))</f>
        <v/>
      </c>
    </row>
    <row r="153" spans="1:5">
      <c r="A153">
        <v>174</v>
      </c>
      <c r="C153" s="16" t="str">
        <f>IFERROR(IF(ISBLANK('2024'!A153), C152,INDEX('2024'!$A$2:$A$369, MATCH(A153, '2024'!$B$2:$B$369, 0)) - WEEKDAY(INDEX('2024'!$A$2:$A$369, MATCH(A153, '2024'!$B$2:$B$369, 0)), 2) + 1), "")</f>
        <v/>
      </c>
      <c r="D153" s="15" t="str">
        <f>IF(C153="","",IF(C153=C152, "", SUMIFS('2024'!D:D,C:C, C153)))</f>
        <v/>
      </c>
      <c r="E153" s="3" t="str">
        <f>IF(C153="","",IF(C153=C152, "", SUMIFS('2024'!U:U,C:C, C153)))</f>
        <v/>
      </c>
    </row>
    <row r="154" spans="1:5">
      <c r="A154">
        <v>175</v>
      </c>
      <c r="C154" s="16" t="str">
        <f>IFERROR(IF(ISBLANK('2024'!A154), C153,INDEX('2024'!$A$2:$A$369, MATCH(A154, '2024'!$B$2:$B$369, 0)) - WEEKDAY(INDEX('2024'!$A$2:$A$369, MATCH(A154, '2024'!$B$2:$B$369, 0)), 2) + 1), "")</f>
        <v/>
      </c>
      <c r="D154" s="15" t="str">
        <f>IF(C154="","",IF(C154=C153, "", SUMIFS('2024'!D:D,C:C, C154)))</f>
        <v/>
      </c>
      <c r="E154" s="3" t="str">
        <f>IF(C154="","",IF(C154=C153, "", SUMIFS('2024'!U:U,C:C, C154)))</f>
        <v/>
      </c>
    </row>
    <row r="155" spans="1:5">
      <c r="A155">
        <v>176</v>
      </c>
      <c r="C155" s="16" t="str">
        <f>IFERROR(IF(ISBLANK('2024'!A155), C154,INDEX('2024'!$A$2:$A$369, MATCH(A155, '2024'!$B$2:$B$369, 0)) - WEEKDAY(INDEX('2024'!$A$2:$A$369, MATCH(A155, '2024'!$B$2:$B$369, 0)), 2) + 1), "")</f>
        <v/>
      </c>
      <c r="D155" s="15" t="str">
        <f>IF(C155="","",IF(C155=C154, "", SUMIFS('2024'!D:D,C:C, C155)))</f>
        <v/>
      </c>
      <c r="E155" s="3" t="str">
        <f>IF(C155="","",IF(C155=C154, "", SUMIFS('2024'!U:U,C:C, C155)))</f>
        <v/>
      </c>
    </row>
    <row r="156" spans="1:5">
      <c r="A156">
        <v>177</v>
      </c>
      <c r="C156" s="16" t="str">
        <f>IFERROR(IF(ISBLANK('2024'!A156), C155,INDEX('2024'!$A$2:$A$369, MATCH(A156, '2024'!$B$2:$B$369, 0)) - WEEKDAY(INDEX('2024'!$A$2:$A$369, MATCH(A156, '2024'!$B$2:$B$369, 0)), 2) + 1), "")</f>
        <v/>
      </c>
      <c r="D156" s="15" t="str">
        <f>IF(C156="","",IF(C156=C155, "", SUMIFS('2024'!D:D,C:C, C156)))</f>
        <v/>
      </c>
      <c r="E156" s="3" t="str">
        <f>IF(C156="","",IF(C156=C155, "", SUMIFS('2024'!U:U,C:C, C156)))</f>
        <v/>
      </c>
    </row>
    <row r="157" spans="1:5">
      <c r="A157">
        <v>178</v>
      </c>
      <c r="C157" s="16" t="str">
        <f>IFERROR(IF(ISBLANK('2024'!A157), C156,INDEX('2024'!$A$2:$A$369, MATCH(A157, '2024'!$B$2:$B$369, 0)) - WEEKDAY(INDEX('2024'!$A$2:$A$369, MATCH(A157, '2024'!$B$2:$B$369, 0)), 2) + 1), "")</f>
        <v/>
      </c>
      <c r="D157" s="15" t="str">
        <f>IF(C157="","",IF(C157=C156, "", SUMIFS('2024'!D:D,C:C, C157)))</f>
        <v/>
      </c>
      <c r="E157" s="3" t="str">
        <f>IF(C157="","",IF(C157=C156, "", SUMIFS('2024'!U:U,C:C, C157)))</f>
        <v/>
      </c>
    </row>
    <row r="158" spans="1:5">
      <c r="A158">
        <v>179</v>
      </c>
      <c r="C158" s="16" t="str">
        <f>IFERROR(IF(ISBLANK('2024'!A158), C157,INDEX('2024'!$A$2:$A$369, MATCH(A158, '2024'!$B$2:$B$369, 0)) - WEEKDAY(INDEX('2024'!$A$2:$A$369, MATCH(A158, '2024'!$B$2:$B$369, 0)), 2) + 1), "")</f>
        <v/>
      </c>
      <c r="D158" s="15" t="str">
        <f>IF(C158="","",IF(C158=C157, "", SUMIFS('2024'!D:D,C:C, C158)))</f>
        <v/>
      </c>
      <c r="E158" s="3" t="str">
        <f>IF(C158="","",IF(C158=C157, "", SUMIFS('2024'!U:U,C:C, C158)))</f>
        <v/>
      </c>
    </row>
    <row r="159" spans="1:5">
      <c r="A159">
        <v>180</v>
      </c>
      <c r="C159" s="16" t="str">
        <f>IFERROR(IF(ISBLANK('2024'!A159), C158,INDEX('2024'!$A$2:$A$369, MATCH(A159, '2024'!$B$2:$B$369, 0)) - WEEKDAY(INDEX('2024'!$A$2:$A$369, MATCH(A159, '2024'!$B$2:$B$369, 0)), 2) + 1), "")</f>
        <v/>
      </c>
      <c r="D159" s="15" t="str">
        <f>IF(C159="","",IF(C159=C158, "", SUMIFS('2024'!D:D,C:C, C159)))</f>
        <v/>
      </c>
      <c r="E159" s="3" t="str">
        <f>IF(C159="","",IF(C159=C158, "", SUMIFS('2024'!U:U,C:C, C159)))</f>
        <v/>
      </c>
    </row>
    <row r="160" spans="1:5">
      <c r="A160">
        <v>181</v>
      </c>
      <c r="C160" s="16" t="str">
        <f>IFERROR(IF(ISBLANK('2024'!A160), C159,INDEX('2024'!$A$2:$A$369, MATCH(A160, '2024'!$B$2:$B$369, 0)) - WEEKDAY(INDEX('2024'!$A$2:$A$369, MATCH(A160, '2024'!$B$2:$B$369, 0)), 2) + 1), "")</f>
        <v/>
      </c>
      <c r="D160" s="15" t="str">
        <f>IF(C160="","",IF(C160=C159, "", SUMIFS('2024'!D:D,C:C, C160)))</f>
        <v/>
      </c>
      <c r="E160" s="3" t="str">
        <f>IF(C160="","",IF(C160=C159, "", SUMIFS('2024'!U:U,C:C, C160)))</f>
        <v/>
      </c>
    </row>
    <row r="161" spans="1:5">
      <c r="A161">
        <v>182</v>
      </c>
      <c r="C161" s="16" t="str">
        <f>IFERROR(IF(ISBLANK('2024'!A161), C160,INDEX('2024'!$A$2:$A$369, MATCH(A161, '2024'!$B$2:$B$369, 0)) - WEEKDAY(INDEX('2024'!$A$2:$A$369, MATCH(A161, '2024'!$B$2:$B$369, 0)), 2) + 1), "")</f>
        <v/>
      </c>
      <c r="D161" s="15" t="str">
        <f>IF(C161="","",IF(C161=C160, "", SUMIFS('2024'!D:D,C:C, C161)))</f>
        <v/>
      </c>
      <c r="E161" s="3" t="str">
        <f>IF(C161="","",IF(C161=C160, "", SUMIFS('2024'!U:U,C:C, C161)))</f>
        <v/>
      </c>
    </row>
    <row r="162" spans="1:5">
      <c r="A162">
        <v>183</v>
      </c>
      <c r="C162" s="16" t="str">
        <f>IFERROR(IF(ISBLANK('2024'!A162), C161,INDEX('2024'!$A$2:$A$369, MATCH(A162, '2024'!$B$2:$B$369, 0)) - WEEKDAY(INDEX('2024'!$A$2:$A$369, MATCH(A162, '2024'!$B$2:$B$369, 0)), 2) + 1), "")</f>
        <v/>
      </c>
      <c r="D162" s="15" t="str">
        <f>IF(C162="","",IF(C162=C161, "", SUMIFS('2024'!D:D,C:C, C162)))</f>
        <v/>
      </c>
      <c r="E162" s="3" t="str">
        <f>IF(C162="","",IF(C162=C161, "", SUMIFS('2024'!U:U,C:C, C162)))</f>
        <v/>
      </c>
    </row>
    <row r="163" spans="1:5">
      <c r="A163">
        <v>184</v>
      </c>
      <c r="C163" s="16" t="str">
        <f>IFERROR(IF(ISBLANK('2024'!A163), C162,INDEX('2024'!$A$2:$A$369, MATCH(A163, '2024'!$B$2:$B$369, 0)) - WEEKDAY(INDEX('2024'!$A$2:$A$369, MATCH(A163, '2024'!$B$2:$B$369, 0)), 2) + 1), "")</f>
        <v/>
      </c>
      <c r="D163" s="15" t="str">
        <f>IF(C163="","",IF(C163=C162, "", SUMIFS('2024'!D:D,C:C, C163)))</f>
        <v/>
      </c>
      <c r="E163" s="3" t="str">
        <f>IF(C163="","",IF(C163=C162, "", SUMIFS('2024'!U:U,C:C, C163)))</f>
        <v/>
      </c>
    </row>
    <row r="164" spans="1:5">
      <c r="A164">
        <v>185</v>
      </c>
      <c r="C164" s="16" t="str">
        <f>IFERROR(IF(ISBLANK('2024'!A164), C163,INDEX('2024'!$A$2:$A$369, MATCH(A164, '2024'!$B$2:$B$369, 0)) - WEEKDAY(INDEX('2024'!$A$2:$A$369, MATCH(A164, '2024'!$B$2:$B$369, 0)), 2) + 1), "")</f>
        <v/>
      </c>
      <c r="D164" s="15" t="str">
        <f>IF(C164="","",IF(C164=C163, "", SUMIFS('2024'!D:D,C:C, C164)))</f>
        <v/>
      </c>
      <c r="E164" s="3" t="str">
        <f>IF(C164="","",IF(C164=C163, "", SUMIFS('2024'!U:U,C:C, C164)))</f>
        <v/>
      </c>
    </row>
    <row r="165" spans="1:5">
      <c r="A165">
        <v>186</v>
      </c>
      <c r="C165" s="16" t="str">
        <f>IFERROR(IF(ISBLANK('2024'!A165), C164,INDEX('2024'!$A$2:$A$369, MATCH(A165, '2024'!$B$2:$B$369, 0)) - WEEKDAY(INDEX('2024'!$A$2:$A$369, MATCH(A165, '2024'!$B$2:$B$369, 0)), 2) + 1), "")</f>
        <v/>
      </c>
      <c r="D165" s="15" t="str">
        <f>IF(C165="","",IF(C165=C164, "", SUMIFS('2024'!D:D,C:C, C165)))</f>
        <v/>
      </c>
      <c r="E165" s="3" t="str">
        <f>IF(C165="","",IF(C165=C164, "", SUMIFS('2024'!U:U,C:C, C165)))</f>
        <v/>
      </c>
    </row>
    <row r="166" spans="1:5">
      <c r="A166">
        <v>187</v>
      </c>
      <c r="C166" s="16" t="str">
        <f>IFERROR(IF(ISBLANK('2024'!A166), C165,INDEX('2024'!$A$2:$A$369, MATCH(A166, '2024'!$B$2:$B$369, 0)) - WEEKDAY(INDEX('2024'!$A$2:$A$369, MATCH(A166, '2024'!$B$2:$B$369, 0)), 2) + 1), "")</f>
        <v/>
      </c>
      <c r="D166" s="15" t="str">
        <f>IF(C166="","",IF(C166=C165, "", SUMIFS('2024'!D:D,C:C, C166)))</f>
        <v/>
      </c>
      <c r="E166" s="3" t="str">
        <f>IF(C166="","",IF(C166=C165, "", SUMIFS('2024'!U:U,C:C, C166)))</f>
        <v/>
      </c>
    </row>
    <row r="167" spans="1:5">
      <c r="A167">
        <v>188</v>
      </c>
      <c r="C167" s="16" t="str">
        <f>IFERROR(IF(ISBLANK('2024'!A167), C166,INDEX('2024'!$A$2:$A$369, MATCH(A167, '2024'!$B$2:$B$369, 0)) - WEEKDAY(INDEX('2024'!$A$2:$A$369, MATCH(A167, '2024'!$B$2:$B$369, 0)), 2) + 1), "")</f>
        <v/>
      </c>
      <c r="D167" s="15" t="str">
        <f>IF(C167="","",IF(C167=C166, "", SUMIFS('2024'!D:D,C:C, C167)))</f>
        <v/>
      </c>
      <c r="E167" s="3" t="str">
        <f>IF(C167="","",IF(C167=C166, "", SUMIFS('2024'!U:U,C:C, C167)))</f>
        <v/>
      </c>
    </row>
    <row r="168" spans="1:5">
      <c r="A168">
        <v>189</v>
      </c>
      <c r="C168" s="16" t="str">
        <f>IFERROR(IF(ISBLANK('2024'!A168), C167,INDEX('2024'!$A$2:$A$369, MATCH(A168, '2024'!$B$2:$B$369, 0)) - WEEKDAY(INDEX('2024'!$A$2:$A$369, MATCH(A168, '2024'!$B$2:$B$369, 0)), 2) + 1), "")</f>
        <v/>
      </c>
      <c r="D168" s="15" t="str">
        <f>IF(C168="","",IF(C168=C167, "", SUMIFS('2024'!D:D,C:C, C168)))</f>
        <v/>
      </c>
      <c r="E168" s="3" t="str">
        <f>IF(C168="","",IF(C168=C167, "", SUMIFS('2024'!U:U,C:C, C168)))</f>
        <v/>
      </c>
    </row>
    <row r="169" spans="1:5">
      <c r="A169">
        <v>190</v>
      </c>
      <c r="C169" s="16" t="str">
        <f>IFERROR(IF(ISBLANK('2024'!A169), C168,INDEX('2024'!$A$2:$A$369, MATCH(A169, '2024'!$B$2:$B$369, 0)) - WEEKDAY(INDEX('2024'!$A$2:$A$369, MATCH(A169, '2024'!$B$2:$B$369, 0)), 2) + 1), "")</f>
        <v/>
      </c>
      <c r="D169" s="15" t="str">
        <f>IF(C169="","",IF(C169=C168, "", SUMIFS('2024'!D:D,C:C, C169)))</f>
        <v/>
      </c>
      <c r="E169" s="3" t="str">
        <f>IF(C169="","",IF(C169=C168, "", SUMIFS('2024'!U:U,C:C, C169)))</f>
        <v/>
      </c>
    </row>
    <row r="170" spans="1:5">
      <c r="A170">
        <v>191</v>
      </c>
      <c r="C170" s="16" t="str">
        <f>IFERROR(IF(ISBLANK('2024'!A170), C169,INDEX('2024'!$A$2:$A$369, MATCH(A170, '2024'!$B$2:$B$369, 0)) - WEEKDAY(INDEX('2024'!$A$2:$A$369, MATCH(A170, '2024'!$B$2:$B$369, 0)), 2) + 1), "")</f>
        <v/>
      </c>
      <c r="D170" s="15" t="str">
        <f>IF(C170="","",IF(C170=C169, "", SUMIFS('2024'!D:D,C:C, C170)))</f>
        <v/>
      </c>
      <c r="E170" s="3" t="str">
        <f>IF(C170="","",IF(C170=C169, "", SUMIFS('2024'!U:U,C:C, C170)))</f>
        <v/>
      </c>
    </row>
    <row r="171" spans="1:5">
      <c r="A171">
        <v>192</v>
      </c>
      <c r="C171" s="16" t="str">
        <f>IFERROR(IF(ISBLANK('2024'!A171), C170,INDEX('2024'!$A$2:$A$369, MATCH(A171, '2024'!$B$2:$B$369, 0)) - WEEKDAY(INDEX('2024'!$A$2:$A$369, MATCH(A171, '2024'!$B$2:$B$369, 0)), 2) + 1), "")</f>
        <v/>
      </c>
      <c r="D171" s="15" t="str">
        <f>IF(C171="","",IF(C171=C170, "", SUMIFS('2024'!D:D,C:C, C171)))</f>
        <v/>
      </c>
      <c r="E171" s="3" t="str">
        <f>IF(C171="","",IF(C171=C170, "", SUMIFS('2024'!U:U,C:C, C171)))</f>
        <v/>
      </c>
    </row>
    <row r="172" spans="1:5">
      <c r="A172">
        <v>193</v>
      </c>
      <c r="C172" s="16" t="str">
        <f>IFERROR(IF(ISBLANK('2024'!A172), C171,INDEX('2024'!$A$2:$A$369, MATCH(A172, '2024'!$B$2:$B$369, 0)) - WEEKDAY(INDEX('2024'!$A$2:$A$369, MATCH(A172, '2024'!$B$2:$B$369, 0)), 2) + 1), "")</f>
        <v/>
      </c>
      <c r="D172" s="15" t="str">
        <f>IF(C172="","",IF(C172=C171, "", SUMIFS('2024'!D:D,C:C, C172)))</f>
        <v/>
      </c>
      <c r="E172" s="3" t="str">
        <f>IF(C172="","",IF(C172=C171, "", SUMIFS('2024'!U:U,C:C, C172)))</f>
        <v/>
      </c>
    </row>
    <row r="173" spans="1:5">
      <c r="A173">
        <v>194</v>
      </c>
      <c r="C173" s="16" t="str">
        <f>IFERROR(IF(ISBLANK('2024'!A173), C172,INDEX('2024'!$A$2:$A$369, MATCH(A173, '2024'!$B$2:$B$369, 0)) - WEEKDAY(INDEX('2024'!$A$2:$A$369, MATCH(A173, '2024'!$B$2:$B$369, 0)), 2) + 1), "")</f>
        <v/>
      </c>
      <c r="D173" s="15" t="str">
        <f>IF(C173="","",IF(C173=C172, "", SUMIFS('2024'!D:D,C:C, C173)))</f>
        <v/>
      </c>
      <c r="E173" s="3" t="str">
        <f>IF(C173="","",IF(C173=C172, "", SUMIFS('2024'!U:U,C:C, C173)))</f>
        <v/>
      </c>
    </row>
    <row r="174" spans="1:5">
      <c r="A174">
        <v>195</v>
      </c>
      <c r="C174" s="16" t="str">
        <f>IFERROR(IF(ISBLANK('2024'!A174), C173,INDEX('2024'!$A$2:$A$369, MATCH(A174, '2024'!$B$2:$B$369, 0)) - WEEKDAY(INDEX('2024'!$A$2:$A$369, MATCH(A174, '2024'!$B$2:$B$369, 0)), 2) + 1), "")</f>
        <v/>
      </c>
      <c r="D174" s="15" t="str">
        <f>IF(C174="","",IF(C174=C173, "", SUMIFS('2024'!D:D,C:C, C174)))</f>
        <v/>
      </c>
      <c r="E174" s="3" t="str">
        <f>IF(C174="","",IF(C174=C173, "", SUMIFS('2024'!U:U,C:C, C174)))</f>
        <v/>
      </c>
    </row>
    <row r="175" spans="1:5">
      <c r="A175">
        <v>196</v>
      </c>
      <c r="C175" s="16" t="str">
        <f>IFERROR(IF(ISBLANK('2024'!A175), C174,INDEX('2024'!$A$2:$A$369, MATCH(A175, '2024'!$B$2:$B$369, 0)) - WEEKDAY(INDEX('2024'!$A$2:$A$369, MATCH(A175, '2024'!$B$2:$B$369, 0)), 2) + 1), "")</f>
        <v/>
      </c>
      <c r="D175" s="15" t="str">
        <f>IF(C175="","",IF(C175=C174, "", SUMIFS('2024'!D:D,C:C, C175)))</f>
        <v/>
      </c>
      <c r="E175" s="3" t="str">
        <f>IF(C175="","",IF(C175=C174, "", SUMIFS('2024'!U:U,C:C, C175)))</f>
        <v/>
      </c>
    </row>
    <row r="176" spans="1:5">
      <c r="A176">
        <v>197</v>
      </c>
      <c r="C176" s="16" t="str">
        <f>IFERROR(IF(ISBLANK('2024'!A176), C175,INDEX('2024'!$A$2:$A$369, MATCH(A176, '2024'!$B$2:$B$369, 0)) - WEEKDAY(INDEX('2024'!$A$2:$A$369, MATCH(A176, '2024'!$B$2:$B$369, 0)), 2) + 1), "")</f>
        <v/>
      </c>
      <c r="D176" s="15" t="str">
        <f>IF(C176="","",IF(C176=C175, "", SUMIFS('2024'!D:D,C:C, C176)))</f>
        <v/>
      </c>
      <c r="E176" s="3" t="str">
        <f>IF(C176="","",IF(C176=C175, "", SUMIFS('2024'!U:U,C:C, C176)))</f>
        <v/>
      </c>
    </row>
    <row r="177" spans="1:5">
      <c r="A177">
        <v>198</v>
      </c>
      <c r="C177" s="16" t="str">
        <f>IFERROR(IF(ISBLANK('2024'!A177), C176,INDEX('2024'!$A$2:$A$369, MATCH(A177, '2024'!$B$2:$B$369, 0)) - WEEKDAY(INDEX('2024'!$A$2:$A$369, MATCH(A177, '2024'!$B$2:$B$369, 0)), 2) + 1), "")</f>
        <v/>
      </c>
      <c r="D177" s="15" t="str">
        <f>IF(C177="","",IF(C177=C176, "", SUMIFS('2024'!D:D,C:C, C177)))</f>
        <v/>
      </c>
      <c r="E177" s="3" t="str">
        <f>IF(C177="","",IF(C177=C176, "", SUMIFS('2024'!U:U,C:C, C177)))</f>
        <v/>
      </c>
    </row>
    <row r="178" spans="1:5">
      <c r="A178">
        <v>199</v>
      </c>
      <c r="C178" s="16" t="str">
        <f>IFERROR(IF(ISBLANK('2024'!A178), C177,INDEX('2024'!$A$2:$A$369, MATCH(A178, '2024'!$B$2:$B$369, 0)) - WEEKDAY(INDEX('2024'!$A$2:$A$369, MATCH(A178, '2024'!$B$2:$B$369, 0)), 2) + 1), "")</f>
        <v/>
      </c>
      <c r="D178" s="15" t="str">
        <f>IF(C178="","",IF(C178=C177, "", SUMIFS('2024'!D:D,C:C, C178)))</f>
        <v/>
      </c>
      <c r="E178" s="3" t="str">
        <f>IF(C178="","",IF(C178=C177, "", SUMIFS('2024'!U:U,C:C, C178)))</f>
        <v/>
      </c>
    </row>
    <row r="179" spans="1:5">
      <c r="A179">
        <v>200</v>
      </c>
      <c r="C179" s="16" t="str">
        <f>IFERROR(IF(ISBLANK('2024'!A179), C178,INDEX('2024'!$A$2:$A$369, MATCH(A179, '2024'!$B$2:$B$369, 0)) - WEEKDAY(INDEX('2024'!$A$2:$A$369, MATCH(A179, '2024'!$B$2:$B$369, 0)), 2) + 1), "")</f>
        <v/>
      </c>
      <c r="D179" s="15" t="str">
        <f>IF(C179="","",IF(C179=C178, "", SUMIFS('2024'!D:D,C:C, C179)))</f>
        <v/>
      </c>
      <c r="E179" s="3" t="str">
        <f>IF(C179="","",IF(C179=C178, "", SUMIFS('2024'!U:U,C:C, C179)))</f>
        <v/>
      </c>
    </row>
    <row r="180" spans="1:5">
      <c r="A180">
        <v>201</v>
      </c>
      <c r="C180" s="16" t="str">
        <f>IFERROR(IF(ISBLANK('2024'!A180), C179,INDEX('2024'!$A$2:$A$369, MATCH(A180, '2024'!$B$2:$B$369, 0)) - WEEKDAY(INDEX('2024'!$A$2:$A$369, MATCH(A180, '2024'!$B$2:$B$369, 0)), 2) + 1), "")</f>
        <v/>
      </c>
      <c r="D180" s="15" t="str">
        <f>IF(C180="","",IF(C180=C179, "", SUMIFS('2024'!D:D,C:C, C180)))</f>
        <v/>
      </c>
      <c r="E180" s="3" t="str">
        <f>IF(C180="","",IF(C180=C179, "", SUMIFS('2024'!U:U,C:C, C180)))</f>
        <v/>
      </c>
    </row>
    <row r="181" spans="1:5">
      <c r="A181">
        <v>202</v>
      </c>
      <c r="C181" s="16" t="str">
        <f>IFERROR(IF(ISBLANK('2024'!A181), C180,INDEX('2024'!$A$2:$A$369, MATCH(A181, '2024'!$B$2:$B$369, 0)) - WEEKDAY(INDEX('2024'!$A$2:$A$369, MATCH(A181, '2024'!$B$2:$B$369, 0)), 2) + 1), "")</f>
        <v/>
      </c>
      <c r="D181" s="15" t="str">
        <f>IF(C181="","",IF(C181=C180, "", SUMIFS('2024'!D:D,C:C, C181)))</f>
        <v/>
      </c>
      <c r="E181" s="3" t="str">
        <f>IF(C181="","",IF(C181=C180, "", SUMIFS('2024'!U:U,C:C, C181)))</f>
        <v/>
      </c>
    </row>
    <row r="182" spans="1:5">
      <c r="A182">
        <v>203</v>
      </c>
      <c r="C182" s="16" t="str">
        <f>IFERROR(IF(ISBLANK('2024'!A182), C181,INDEX('2024'!$A$2:$A$369, MATCH(A182, '2024'!$B$2:$B$369, 0)) - WEEKDAY(INDEX('2024'!$A$2:$A$369, MATCH(A182, '2024'!$B$2:$B$369, 0)), 2) + 1), "")</f>
        <v/>
      </c>
      <c r="D182" s="15" t="str">
        <f>IF(C182="","",IF(C182=C181, "", SUMIFS('2024'!D:D,C:C, C182)))</f>
        <v/>
      </c>
      <c r="E182" s="3" t="str">
        <f>IF(C182="","",IF(C182=C181, "", SUMIFS('2024'!U:U,C:C, C182)))</f>
        <v/>
      </c>
    </row>
    <row r="183" spans="1:5">
      <c r="A183">
        <v>204</v>
      </c>
      <c r="C183" s="16" t="str">
        <f>IFERROR(IF(ISBLANK('2024'!A183), C182,INDEX('2024'!$A$2:$A$369, MATCH(A183, '2024'!$B$2:$B$369, 0)) - WEEKDAY(INDEX('2024'!$A$2:$A$369, MATCH(A183, '2024'!$B$2:$B$369, 0)), 2) + 1), "")</f>
        <v/>
      </c>
      <c r="D183" s="15" t="str">
        <f>IF(C183="","",IF(C183=C182, "", SUMIFS('2024'!D:D,C:C, C183)))</f>
        <v/>
      </c>
      <c r="E183" s="3" t="str">
        <f>IF(C183="","",IF(C183=C182, "", SUMIFS('2024'!U:U,C:C, C183)))</f>
        <v/>
      </c>
    </row>
    <row r="184" spans="1:5">
      <c r="A184">
        <v>205</v>
      </c>
      <c r="C184" s="16" t="str">
        <f>IFERROR(IF(ISBLANK('2024'!A184), C183,INDEX('2024'!$A$2:$A$369, MATCH(A184, '2024'!$B$2:$B$369, 0)) - WEEKDAY(INDEX('2024'!$A$2:$A$369, MATCH(A184, '2024'!$B$2:$B$369, 0)), 2) + 1), "")</f>
        <v/>
      </c>
      <c r="D184" s="15" t="str">
        <f>IF(C184="","",IF(C184=C183, "", SUMIFS('2024'!D:D,C:C, C184)))</f>
        <v/>
      </c>
      <c r="E184" s="3" t="str">
        <f>IF(C184="","",IF(C184=C183, "", SUMIFS('2024'!U:U,C:C, C184)))</f>
        <v/>
      </c>
    </row>
    <row r="185" spans="1:5">
      <c r="A185">
        <v>206</v>
      </c>
      <c r="C185" s="16" t="str">
        <f>IFERROR(IF(ISBLANK('2024'!A185), C184,INDEX('2024'!$A$2:$A$369, MATCH(A185, '2024'!$B$2:$B$369, 0)) - WEEKDAY(INDEX('2024'!$A$2:$A$369, MATCH(A185, '2024'!$B$2:$B$369, 0)), 2) + 1), "")</f>
        <v/>
      </c>
      <c r="D185" s="15" t="str">
        <f>IF(C185="","",IF(C185=C184, "", SUMIFS('2024'!D:D,C:C, C185)))</f>
        <v/>
      </c>
      <c r="E185" s="3" t="str">
        <f>IF(C185="","",IF(C185=C184, "", SUMIFS('2024'!U:U,C:C, C185)))</f>
        <v/>
      </c>
    </row>
    <row r="186" spans="1:5">
      <c r="A186">
        <v>207</v>
      </c>
      <c r="C186" s="16" t="str">
        <f>IFERROR(IF(ISBLANK('2024'!A186), C185,INDEX('2024'!$A$2:$A$369, MATCH(A186, '2024'!$B$2:$B$369, 0)) - WEEKDAY(INDEX('2024'!$A$2:$A$369, MATCH(A186, '2024'!$B$2:$B$369, 0)), 2) + 1), "")</f>
        <v/>
      </c>
      <c r="D186" s="15" t="str">
        <f>IF(C186="","",IF(C186=C185, "", SUMIFS('2024'!D:D,C:C, C186)))</f>
        <v/>
      </c>
      <c r="E186" s="3" t="str">
        <f>IF(C186="","",IF(C186=C185, "", SUMIFS('2024'!U:U,C:C, C186)))</f>
        <v/>
      </c>
    </row>
    <row r="187" spans="1:5">
      <c r="A187">
        <v>208</v>
      </c>
      <c r="C187" s="16" t="str">
        <f>IFERROR(IF(ISBLANK('2024'!A187), C186,INDEX('2024'!$A$2:$A$369, MATCH(A187, '2024'!$B$2:$B$369, 0)) - WEEKDAY(INDEX('2024'!$A$2:$A$369, MATCH(A187, '2024'!$B$2:$B$369, 0)), 2) + 1), "")</f>
        <v/>
      </c>
      <c r="D187" s="15" t="str">
        <f>IF(C187="","",IF(C187=C186, "", SUMIFS('2024'!D:D,C:C, C187)))</f>
        <v/>
      </c>
      <c r="E187" s="3" t="str">
        <f>IF(C187="","",IF(C187=C186, "", SUMIFS('2024'!U:U,C:C, C187)))</f>
        <v/>
      </c>
    </row>
    <row r="188" spans="1:5">
      <c r="A188">
        <v>209</v>
      </c>
      <c r="C188" s="16" t="str">
        <f>IFERROR(IF(ISBLANK('2024'!A188), C187,INDEX('2024'!$A$2:$A$369, MATCH(A188, '2024'!$B$2:$B$369, 0)) - WEEKDAY(INDEX('2024'!$A$2:$A$369, MATCH(A188, '2024'!$B$2:$B$369, 0)), 2) + 1), "")</f>
        <v/>
      </c>
      <c r="D188" s="15" t="str">
        <f>IF(C188="","",IF(C188=C187, "", SUMIFS('2024'!D:D,C:C, C188)))</f>
        <v/>
      </c>
      <c r="E188" s="3" t="str">
        <f>IF(C188="","",IF(C188=C187, "", SUMIFS('2024'!U:U,C:C, C188)))</f>
        <v/>
      </c>
    </row>
    <row r="189" spans="1:5">
      <c r="A189">
        <v>210</v>
      </c>
      <c r="C189" s="16" t="str">
        <f>IFERROR(IF(ISBLANK('2024'!A189), C188,INDEX('2024'!$A$2:$A$369, MATCH(A189, '2024'!$B$2:$B$369, 0)) - WEEKDAY(INDEX('2024'!$A$2:$A$369, MATCH(A189, '2024'!$B$2:$B$369, 0)), 2) + 1), "")</f>
        <v/>
      </c>
      <c r="D189" s="15" t="str">
        <f>IF(C189="","",IF(C189=C188, "", SUMIFS('2024'!D:D,C:C, C189)))</f>
        <v/>
      </c>
      <c r="E189" s="3" t="str">
        <f>IF(C189="","",IF(C189=C188, "", SUMIFS('2024'!U:U,C:C, C189)))</f>
        <v/>
      </c>
    </row>
    <row r="190" spans="1:5">
      <c r="A190">
        <v>211</v>
      </c>
      <c r="C190" s="16" t="str">
        <f>IFERROR(IF(ISBLANK('2024'!A190), C189,INDEX('2024'!$A$2:$A$369, MATCH(A190, '2024'!$B$2:$B$369, 0)) - WEEKDAY(INDEX('2024'!$A$2:$A$369, MATCH(A190, '2024'!$B$2:$B$369, 0)), 2) + 1), "")</f>
        <v/>
      </c>
      <c r="D190" s="15" t="str">
        <f>IF(C190="","",IF(C190=C189, "", SUMIFS('2024'!D:D,C:C, C190)))</f>
        <v/>
      </c>
      <c r="E190" s="3" t="str">
        <f>IF(C190="","",IF(C190=C189, "", SUMIFS('2024'!U:U,C:C, C190)))</f>
        <v/>
      </c>
    </row>
    <row r="191" spans="1:5">
      <c r="A191">
        <v>212</v>
      </c>
      <c r="C191" s="16" t="str">
        <f>IFERROR(IF(ISBLANK('2024'!A191), C190,INDEX('2024'!$A$2:$A$369, MATCH(A191, '2024'!$B$2:$B$369, 0)) - WEEKDAY(INDEX('2024'!$A$2:$A$369, MATCH(A191, '2024'!$B$2:$B$369, 0)), 2) + 1), "")</f>
        <v/>
      </c>
      <c r="D191" s="15" t="str">
        <f>IF(C191="","",IF(C191=C190, "", SUMIFS('2024'!D:D,C:C, C191)))</f>
        <v/>
      </c>
      <c r="E191" s="3" t="str">
        <f>IF(C191="","",IF(C191=C190, "", SUMIFS('2024'!U:U,C:C, C191)))</f>
        <v/>
      </c>
    </row>
    <row r="192" spans="1:5">
      <c r="A192">
        <v>213</v>
      </c>
      <c r="C192" s="16" t="str">
        <f>IFERROR(IF(ISBLANK('2024'!A192), C191,INDEX('2024'!$A$2:$A$369, MATCH(A192, '2024'!$B$2:$B$369, 0)) - WEEKDAY(INDEX('2024'!$A$2:$A$369, MATCH(A192, '2024'!$B$2:$B$369, 0)), 2) + 1), "")</f>
        <v/>
      </c>
      <c r="D192" s="15" t="str">
        <f>IF(C192="","",IF(C192=C191, "", SUMIFS('2024'!D:D,C:C, C192)))</f>
        <v/>
      </c>
      <c r="E192" s="3" t="str">
        <f>IF(C192="","",IF(C192=C191, "", SUMIFS('2024'!U:U,C:C, C192)))</f>
        <v/>
      </c>
    </row>
    <row r="193" spans="1:5">
      <c r="A193">
        <v>214</v>
      </c>
      <c r="C193" s="16" t="str">
        <f>IFERROR(IF(ISBLANK('2024'!A193), C192,INDEX('2024'!$A$2:$A$369, MATCH(A193, '2024'!$B$2:$B$369, 0)) - WEEKDAY(INDEX('2024'!$A$2:$A$369, MATCH(A193, '2024'!$B$2:$B$369, 0)), 2) + 1), "")</f>
        <v/>
      </c>
      <c r="D193" s="15" t="str">
        <f>IF(C193="","",IF(C193=C192, "", SUMIFS('2024'!D:D,C:C, C193)))</f>
        <v/>
      </c>
      <c r="E193" s="3" t="str">
        <f>IF(C193="","",IF(C193=C192, "", SUMIFS('2024'!U:U,C:C, C193)))</f>
        <v/>
      </c>
    </row>
    <row r="194" spans="1:5">
      <c r="A194">
        <v>215</v>
      </c>
      <c r="C194" s="16" t="str">
        <f>IFERROR(IF(ISBLANK('2024'!A194), C193,INDEX('2024'!$A$2:$A$369, MATCH(A194, '2024'!$B$2:$B$369, 0)) - WEEKDAY(INDEX('2024'!$A$2:$A$369, MATCH(A194, '2024'!$B$2:$B$369, 0)), 2) + 1), "")</f>
        <v/>
      </c>
      <c r="D194" s="15" t="str">
        <f>IF(C194="","",IF(C194=C193, "", SUMIFS('2024'!D:D,C:C, C194)))</f>
        <v/>
      </c>
      <c r="E194" s="3" t="str">
        <f>IF(C194="","",IF(C194=C193, "", SUMIFS('2024'!U:U,C:C, C194)))</f>
        <v/>
      </c>
    </row>
    <row r="195" spans="1:5">
      <c r="A195">
        <v>216</v>
      </c>
      <c r="C195" s="16" t="str">
        <f>IFERROR(IF(ISBLANK('2024'!A195), C194,INDEX('2024'!$A$2:$A$369, MATCH(A195, '2024'!$B$2:$B$369, 0)) - WEEKDAY(INDEX('2024'!$A$2:$A$369, MATCH(A195, '2024'!$B$2:$B$369, 0)), 2) + 1), "")</f>
        <v/>
      </c>
      <c r="D195" s="15" t="str">
        <f>IF(C195="","",IF(C195=C194, "", SUMIFS('2024'!D:D,C:C, C195)))</f>
        <v/>
      </c>
      <c r="E195" s="3" t="str">
        <f>IF(C195="","",IF(C195=C194, "", SUMIFS('2024'!U:U,C:C, C195)))</f>
        <v/>
      </c>
    </row>
    <row r="196" spans="1:5">
      <c r="A196">
        <v>217</v>
      </c>
      <c r="C196" s="16" t="str">
        <f>IFERROR(IF(ISBLANK('2024'!A196), C195,INDEX('2024'!$A$2:$A$369, MATCH(A196, '2024'!$B$2:$B$369, 0)) - WEEKDAY(INDEX('2024'!$A$2:$A$369, MATCH(A196, '2024'!$B$2:$B$369, 0)), 2) + 1), "")</f>
        <v/>
      </c>
      <c r="D196" s="15" t="str">
        <f>IF(C196="","",IF(C196=C195, "", SUMIFS('2024'!D:D,C:C, C196)))</f>
        <v/>
      </c>
      <c r="E196" s="3" t="str">
        <f>IF(C196="","",IF(C196=C195, "", SUMIFS('2024'!U:U,C:C, C196)))</f>
        <v/>
      </c>
    </row>
    <row r="197" spans="1:5">
      <c r="A197">
        <v>218</v>
      </c>
      <c r="C197" s="16" t="str">
        <f>IFERROR(IF(ISBLANK('2024'!A197), C196,INDEX('2024'!$A$2:$A$369, MATCH(A197, '2024'!$B$2:$B$369, 0)) - WEEKDAY(INDEX('2024'!$A$2:$A$369, MATCH(A197, '2024'!$B$2:$B$369, 0)), 2) + 1), "")</f>
        <v/>
      </c>
      <c r="D197" s="15" t="str">
        <f>IF(C197="","",IF(C197=C196, "", SUMIFS('2024'!D:D,C:C, C197)))</f>
        <v/>
      </c>
      <c r="E197" s="3" t="str">
        <f>IF(C197="","",IF(C197=C196, "", SUMIFS('2024'!U:U,C:C, C197)))</f>
        <v/>
      </c>
    </row>
    <row r="198" spans="1:5">
      <c r="A198">
        <v>219</v>
      </c>
      <c r="C198" s="16" t="str">
        <f>IFERROR(IF(ISBLANK('2024'!A198), C197,INDEX('2024'!$A$2:$A$369, MATCH(A198, '2024'!$B$2:$B$369, 0)) - WEEKDAY(INDEX('2024'!$A$2:$A$369, MATCH(A198, '2024'!$B$2:$B$369, 0)), 2) + 1), "")</f>
        <v/>
      </c>
      <c r="D198" s="15" t="str">
        <f>IF(C198="","",IF(C198=C197, "", SUMIFS('2024'!D:D,C:C, C198)))</f>
        <v/>
      </c>
      <c r="E198" s="3" t="str">
        <f>IF(C198="","",IF(C198=C197, "", SUMIFS('2024'!U:U,C:C, C198)))</f>
        <v/>
      </c>
    </row>
    <row r="199" spans="1:5">
      <c r="A199">
        <v>220</v>
      </c>
      <c r="C199" s="16" t="str">
        <f>IFERROR(IF(ISBLANK('2024'!A199), C198,INDEX('2024'!$A$2:$A$369, MATCH(A199, '2024'!$B$2:$B$369, 0)) - WEEKDAY(INDEX('2024'!$A$2:$A$369, MATCH(A199, '2024'!$B$2:$B$369, 0)), 2) + 1), "")</f>
        <v/>
      </c>
      <c r="D199" s="15" t="str">
        <f>IF(C199="","",IF(C199=C198, "", SUMIFS('2024'!D:D,C:C, C199)))</f>
        <v/>
      </c>
      <c r="E199" s="3" t="str">
        <f>IF(C199="","",IF(C199=C198, "", SUMIFS('2024'!U:U,C:C, C199)))</f>
        <v/>
      </c>
    </row>
    <row r="200" spans="1:5">
      <c r="A200">
        <v>221</v>
      </c>
      <c r="C200" s="16" t="str">
        <f>IFERROR(IF(ISBLANK('2024'!A200), C199,INDEX('2024'!$A$2:$A$369, MATCH(A200, '2024'!$B$2:$B$369, 0)) - WEEKDAY(INDEX('2024'!$A$2:$A$369, MATCH(A200, '2024'!$B$2:$B$369, 0)), 2) + 1), "")</f>
        <v/>
      </c>
      <c r="D200" s="15" t="str">
        <f>IF(C200="","",IF(C200=C199, "", SUMIFS('2024'!D:D,C:C, C200)))</f>
        <v/>
      </c>
      <c r="E200" s="3" t="str">
        <f>IF(C200="","",IF(C200=C199, "", SUMIFS('2024'!U:U,C:C, C200)))</f>
        <v/>
      </c>
    </row>
    <row r="201" spans="1:5">
      <c r="A201">
        <v>222</v>
      </c>
      <c r="C201" s="16" t="str">
        <f>IFERROR(IF(ISBLANK('2024'!A201), C200,INDEX('2024'!$A$2:$A$369, MATCH(A201, '2024'!$B$2:$B$369, 0)) - WEEKDAY(INDEX('2024'!$A$2:$A$369, MATCH(A201, '2024'!$B$2:$B$369, 0)), 2) + 1), "")</f>
        <v/>
      </c>
      <c r="D201" s="15" t="str">
        <f>IF(C201="","",IF(C201=C200, "", SUMIFS('2024'!D:D,C:C, C201)))</f>
        <v/>
      </c>
      <c r="E201" s="3" t="str">
        <f>IF(C201="","",IF(C201=C200, "", SUMIFS('2024'!U:U,C:C, C201)))</f>
        <v/>
      </c>
    </row>
    <row r="202" spans="1:5">
      <c r="A202">
        <v>223</v>
      </c>
      <c r="C202" s="16" t="str">
        <f>IFERROR(IF(ISBLANK('2024'!A202), C201,INDEX('2024'!$A$2:$A$369, MATCH(A202, '2024'!$B$2:$B$369, 0)) - WEEKDAY(INDEX('2024'!$A$2:$A$369, MATCH(A202, '2024'!$B$2:$B$369, 0)), 2) + 1), "")</f>
        <v/>
      </c>
      <c r="D202" s="15" t="str">
        <f>IF(C202="","",IF(C202=C201, "", SUMIFS('2024'!D:D,C:C, C202)))</f>
        <v/>
      </c>
      <c r="E202" s="3" t="str">
        <f>IF(C202="","",IF(C202=C201, "", SUMIFS('2024'!U:U,C:C, C202)))</f>
        <v/>
      </c>
    </row>
    <row r="203" spans="1:5">
      <c r="A203">
        <v>224</v>
      </c>
      <c r="C203" s="16" t="str">
        <f>IFERROR(IF(ISBLANK('2024'!A203), C202,INDEX('2024'!$A$2:$A$369, MATCH(A203, '2024'!$B$2:$B$369, 0)) - WEEKDAY(INDEX('2024'!$A$2:$A$369, MATCH(A203, '2024'!$B$2:$B$369, 0)), 2) + 1), "")</f>
        <v/>
      </c>
      <c r="D203" s="15" t="str">
        <f>IF(C203="","",IF(C203=C202, "", SUMIFS('2024'!D:D,C:C, C203)))</f>
        <v/>
      </c>
      <c r="E203" s="3" t="str">
        <f>IF(C203="","",IF(C203=C202, "", SUMIFS('2024'!U:U,C:C, C203)))</f>
        <v/>
      </c>
    </row>
    <row r="204" spans="1:5">
      <c r="A204">
        <v>225</v>
      </c>
      <c r="C204" s="16" t="str">
        <f>IFERROR(IF(ISBLANK('2024'!A204), C203,INDEX('2024'!$A$2:$A$369, MATCH(A204, '2024'!$B$2:$B$369, 0)) - WEEKDAY(INDEX('2024'!$A$2:$A$369, MATCH(A204, '2024'!$B$2:$B$369, 0)), 2) + 1), "")</f>
        <v/>
      </c>
      <c r="D204" s="15" t="str">
        <f>IF(C204="","",IF(C204=C203, "", SUMIFS('2024'!D:D,C:C, C204)))</f>
        <v/>
      </c>
      <c r="E204" s="3" t="str">
        <f>IF(C204="","",IF(C204=C203, "", SUMIFS('2024'!U:U,C:C, C204)))</f>
        <v/>
      </c>
    </row>
    <row r="205" spans="1:5">
      <c r="A205">
        <v>226</v>
      </c>
      <c r="C205" s="16" t="str">
        <f>IFERROR(IF(ISBLANK('2024'!A205), C204,INDEX('2024'!$A$2:$A$369, MATCH(A205, '2024'!$B$2:$B$369, 0)) - WEEKDAY(INDEX('2024'!$A$2:$A$369, MATCH(A205, '2024'!$B$2:$B$369, 0)), 2) + 1), "")</f>
        <v/>
      </c>
      <c r="D205" s="15" t="str">
        <f>IF(C205="","",IF(C205=C204, "", SUMIFS('2024'!D:D,C:C, C205)))</f>
        <v/>
      </c>
      <c r="E205" s="3" t="str">
        <f>IF(C205="","",IF(C205=C204, "", SUMIFS('2024'!U:U,C:C, C205)))</f>
        <v/>
      </c>
    </row>
    <row r="206" spans="1:5">
      <c r="A206">
        <v>227</v>
      </c>
      <c r="C206" s="16" t="str">
        <f>IFERROR(IF(ISBLANK('2024'!A206), C205,INDEX('2024'!$A$2:$A$369, MATCH(A206, '2024'!$B$2:$B$369, 0)) - WEEKDAY(INDEX('2024'!$A$2:$A$369, MATCH(A206, '2024'!$B$2:$B$369, 0)), 2) + 1), "")</f>
        <v/>
      </c>
      <c r="D206" s="15" t="str">
        <f>IF(C206="","",IF(C206=C205, "", SUMIFS('2024'!D:D,C:C, C206)))</f>
        <v/>
      </c>
      <c r="E206" s="3" t="str">
        <f>IF(C206="","",IF(C206=C205, "", SUMIFS('2024'!U:U,C:C, C206)))</f>
        <v/>
      </c>
    </row>
    <row r="207" spans="1:5">
      <c r="A207">
        <v>228</v>
      </c>
      <c r="C207" s="16" t="str">
        <f>IFERROR(IF(ISBLANK('2024'!A207), C206,INDEX('2024'!$A$2:$A$369, MATCH(A207, '2024'!$B$2:$B$369, 0)) - WEEKDAY(INDEX('2024'!$A$2:$A$369, MATCH(A207, '2024'!$B$2:$B$369, 0)), 2) + 1), "")</f>
        <v/>
      </c>
      <c r="D207" s="15" t="str">
        <f>IF(C207="","",IF(C207=C206, "", SUMIFS('2024'!D:D,C:C, C207)))</f>
        <v/>
      </c>
      <c r="E207" s="3" t="str">
        <f>IF(C207="","",IF(C207=C206, "", SUMIFS('2024'!U:U,C:C, C207)))</f>
        <v/>
      </c>
    </row>
    <row r="208" spans="1:5">
      <c r="A208">
        <v>229</v>
      </c>
      <c r="C208" s="16" t="str">
        <f>IFERROR(IF(ISBLANK('2024'!A208), C207,INDEX('2024'!$A$2:$A$369, MATCH(A208, '2024'!$B$2:$B$369, 0)) - WEEKDAY(INDEX('2024'!$A$2:$A$369, MATCH(A208, '2024'!$B$2:$B$369, 0)), 2) + 1), "")</f>
        <v/>
      </c>
      <c r="D208" s="15" t="str">
        <f>IF(C208="","",IF(C208=C207, "", SUMIFS('2024'!D:D,C:C, C208)))</f>
        <v/>
      </c>
      <c r="E208" s="3" t="str">
        <f>IF(C208="","",IF(C208=C207, "", SUMIFS('2024'!U:U,C:C, C208)))</f>
        <v/>
      </c>
    </row>
    <row r="209" spans="1:5">
      <c r="A209">
        <v>230</v>
      </c>
      <c r="C209" s="16" t="str">
        <f>IFERROR(IF(ISBLANK('2024'!A209), C208,INDEX('2024'!$A$2:$A$369, MATCH(A209, '2024'!$B$2:$B$369, 0)) - WEEKDAY(INDEX('2024'!$A$2:$A$369, MATCH(A209, '2024'!$B$2:$B$369, 0)), 2) + 1), "")</f>
        <v/>
      </c>
      <c r="D209" s="15" t="str">
        <f>IF(C209="","",IF(C209=C208, "", SUMIFS('2024'!D:D,C:C, C209)))</f>
        <v/>
      </c>
      <c r="E209" s="3" t="str">
        <f>IF(C209="","",IF(C209=C208, "", SUMIFS('2024'!U:U,C:C, C209)))</f>
        <v/>
      </c>
    </row>
    <row r="210" spans="1:5">
      <c r="A210">
        <v>231</v>
      </c>
      <c r="C210" s="16" t="str">
        <f>IFERROR(IF(ISBLANK('2024'!A210), C209,INDEX('2024'!$A$2:$A$369, MATCH(A210, '2024'!$B$2:$B$369, 0)) - WEEKDAY(INDEX('2024'!$A$2:$A$369, MATCH(A210, '2024'!$B$2:$B$369, 0)), 2) + 1), "")</f>
        <v/>
      </c>
      <c r="D210" s="15" t="str">
        <f>IF(C210="","",IF(C210=C209, "", SUMIFS('2024'!D:D,C:C, C210)))</f>
        <v/>
      </c>
      <c r="E210" s="3" t="str">
        <f>IF(C210="","",IF(C210=C209, "", SUMIFS('2024'!U:U,C:C, C210)))</f>
        <v/>
      </c>
    </row>
    <row r="211" spans="1:5">
      <c r="A211">
        <v>232</v>
      </c>
      <c r="C211" s="16" t="str">
        <f>IFERROR(IF(ISBLANK('2024'!A211), C210,INDEX('2024'!$A$2:$A$369, MATCH(A211, '2024'!$B$2:$B$369, 0)) - WEEKDAY(INDEX('2024'!$A$2:$A$369, MATCH(A211, '2024'!$B$2:$B$369, 0)), 2) + 1), "")</f>
        <v/>
      </c>
      <c r="D211" s="15" t="str">
        <f>IF(C211="","",IF(C211=C210, "", SUMIFS('2024'!D:D,C:C, C211)))</f>
        <v/>
      </c>
      <c r="E211" s="3" t="str">
        <f>IF(C211="","",IF(C211=C210, "", SUMIFS('2024'!U:U,C:C, C211)))</f>
        <v/>
      </c>
    </row>
    <row r="212" spans="1:5">
      <c r="A212">
        <v>233</v>
      </c>
      <c r="C212" s="16" t="str">
        <f>IFERROR(IF(ISBLANK('2024'!A212), C211,INDEX('2024'!$A$2:$A$369, MATCH(A212, '2024'!$B$2:$B$369, 0)) - WEEKDAY(INDEX('2024'!$A$2:$A$369, MATCH(A212, '2024'!$B$2:$B$369, 0)), 2) + 1), "")</f>
        <v/>
      </c>
      <c r="D212" s="15" t="str">
        <f>IF(C212="","",IF(C212=C211, "", SUMIFS('2024'!D:D,C:C, C212)))</f>
        <v/>
      </c>
      <c r="E212" s="3" t="str">
        <f>IF(C212="","",IF(C212=C211, "", SUMIFS('2024'!U:U,C:C, C212)))</f>
        <v/>
      </c>
    </row>
    <row r="213" spans="1:5">
      <c r="A213">
        <v>234</v>
      </c>
      <c r="C213" s="16" t="str">
        <f>IFERROR(IF(ISBLANK('2024'!A213), C212,INDEX('2024'!$A$2:$A$369, MATCH(A213, '2024'!$B$2:$B$369, 0)) - WEEKDAY(INDEX('2024'!$A$2:$A$369, MATCH(A213, '2024'!$B$2:$B$369, 0)), 2) + 1), "")</f>
        <v/>
      </c>
      <c r="D213" s="15" t="str">
        <f>IF(C213="","",IF(C213=C212, "", SUMIFS('2024'!D:D,C:C, C213)))</f>
        <v/>
      </c>
      <c r="E213" s="3" t="str">
        <f>IF(C213="","",IF(C213=C212, "", SUMIFS('2024'!U:U,C:C, C213)))</f>
        <v/>
      </c>
    </row>
    <row r="214" spans="1:5">
      <c r="A214">
        <v>235</v>
      </c>
      <c r="C214" s="16" t="str">
        <f>IFERROR(IF(ISBLANK('2024'!A214), C213,INDEX('2024'!$A$2:$A$369, MATCH(A214, '2024'!$B$2:$B$369, 0)) - WEEKDAY(INDEX('2024'!$A$2:$A$369, MATCH(A214, '2024'!$B$2:$B$369, 0)), 2) + 1), "")</f>
        <v/>
      </c>
      <c r="D214" s="15" t="str">
        <f>IF(C214="","",IF(C214=C213, "", SUMIFS('2024'!D:D,C:C, C214)))</f>
        <v/>
      </c>
      <c r="E214" s="3" t="str">
        <f>IF(C214="","",IF(C214=C213, "", SUMIFS('2024'!U:U,C:C, C214)))</f>
        <v/>
      </c>
    </row>
    <row r="215" spans="1:5">
      <c r="A215">
        <v>236</v>
      </c>
      <c r="C215" s="16" t="str">
        <f>IFERROR(IF(ISBLANK('2024'!A215), C214,INDEX('2024'!$A$2:$A$369, MATCH(A215, '2024'!$B$2:$B$369, 0)) - WEEKDAY(INDEX('2024'!$A$2:$A$369, MATCH(A215, '2024'!$B$2:$B$369, 0)), 2) + 1), "")</f>
        <v/>
      </c>
      <c r="D215" s="15" t="str">
        <f>IF(C215="","",IF(C215=C214, "", SUMIFS('2024'!D:D,C:C, C215)))</f>
        <v/>
      </c>
      <c r="E215" s="3" t="str">
        <f>IF(C215="","",IF(C215=C214, "", SUMIFS('2024'!U:U,C:C, C215)))</f>
        <v/>
      </c>
    </row>
    <row r="216" spans="1:5">
      <c r="A216">
        <v>237</v>
      </c>
      <c r="C216" s="16" t="str">
        <f>IFERROR(IF(ISBLANK('2024'!A216), C215,INDEX('2024'!$A$2:$A$369, MATCH(A216, '2024'!$B$2:$B$369, 0)) - WEEKDAY(INDEX('2024'!$A$2:$A$369, MATCH(A216, '2024'!$B$2:$B$369, 0)), 2) + 1), "")</f>
        <v/>
      </c>
      <c r="D216" s="15" t="str">
        <f>IF(C216="","",IF(C216=C215, "", SUMIFS('2024'!D:D,C:C, C216)))</f>
        <v/>
      </c>
      <c r="E216" s="3" t="str">
        <f>IF(C216="","",IF(C216=C215, "", SUMIFS('2024'!U:U,C:C, C216)))</f>
        <v/>
      </c>
    </row>
    <row r="217" spans="1:5">
      <c r="A217">
        <v>238</v>
      </c>
      <c r="C217" s="16" t="str">
        <f>IFERROR(IF(ISBLANK('2024'!A217), C216,INDEX('2024'!$A$2:$A$369, MATCH(A217, '2024'!$B$2:$B$369, 0)) - WEEKDAY(INDEX('2024'!$A$2:$A$369, MATCH(A217, '2024'!$B$2:$B$369, 0)), 2) + 1), "")</f>
        <v/>
      </c>
      <c r="D217" s="15" t="str">
        <f>IF(C217="","",IF(C217=C216, "", SUMIFS('2024'!D:D,C:C, C217)))</f>
        <v/>
      </c>
      <c r="E217" s="3" t="str">
        <f>IF(C217="","",IF(C217=C216, "", SUMIFS('2024'!U:U,C:C, C217)))</f>
        <v/>
      </c>
    </row>
    <row r="218" spans="1:5">
      <c r="A218">
        <v>239</v>
      </c>
      <c r="C218" s="16" t="str">
        <f>IFERROR(IF(ISBLANK('2024'!A218), C217,INDEX('2024'!$A$2:$A$369, MATCH(A218, '2024'!$B$2:$B$369, 0)) - WEEKDAY(INDEX('2024'!$A$2:$A$369, MATCH(A218, '2024'!$B$2:$B$369, 0)), 2) + 1), "")</f>
        <v/>
      </c>
      <c r="D218" s="15" t="str">
        <f>IF(C218="","",IF(C218=C217, "", SUMIFS('2024'!D:D,C:C, C218)))</f>
        <v/>
      </c>
      <c r="E218" s="3" t="str">
        <f>IF(C218="","",IF(C218=C217, "", SUMIFS('2024'!U:U,C:C, C218)))</f>
        <v/>
      </c>
    </row>
    <row r="219" spans="1:5">
      <c r="A219">
        <v>240</v>
      </c>
      <c r="C219" s="16" t="str">
        <f>IFERROR(IF(ISBLANK('2024'!A219), C218,INDEX('2024'!$A$2:$A$369, MATCH(A219, '2024'!$B$2:$B$369, 0)) - WEEKDAY(INDEX('2024'!$A$2:$A$369, MATCH(A219, '2024'!$B$2:$B$369, 0)), 2) + 1), "")</f>
        <v/>
      </c>
      <c r="D219" s="15" t="str">
        <f>IF(C219="","",IF(C219=C218, "", SUMIFS('2024'!D:D,C:C, C219)))</f>
        <v/>
      </c>
      <c r="E219" s="3" t="str">
        <f>IF(C219="","",IF(C219=C218, "", SUMIFS('2024'!U:U,C:C, C219)))</f>
        <v/>
      </c>
    </row>
    <row r="220" spans="1:5">
      <c r="A220">
        <v>241</v>
      </c>
      <c r="C220" s="16" t="str">
        <f>IFERROR(IF(ISBLANK('2024'!A220), C219,INDEX('2024'!$A$2:$A$369, MATCH(A220, '2024'!$B$2:$B$369, 0)) - WEEKDAY(INDEX('2024'!$A$2:$A$369, MATCH(A220, '2024'!$B$2:$B$369, 0)), 2) + 1), "")</f>
        <v/>
      </c>
      <c r="D220" s="15" t="str">
        <f>IF(C220="","",IF(C220=C219, "", SUMIFS('2024'!D:D,C:C, C220)))</f>
        <v/>
      </c>
      <c r="E220" s="3" t="str">
        <f>IF(C220="","",IF(C220=C219, "", SUMIFS('2024'!U:U,C:C, C220)))</f>
        <v/>
      </c>
    </row>
    <row r="221" spans="1:5">
      <c r="A221">
        <v>242</v>
      </c>
      <c r="C221" s="16" t="str">
        <f>IFERROR(IF(ISBLANK('2024'!A221), C220,INDEX('2024'!$A$2:$A$369, MATCH(A221, '2024'!$B$2:$B$369, 0)) - WEEKDAY(INDEX('2024'!$A$2:$A$369, MATCH(A221, '2024'!$B$2:$B$369, 0)), 2) + 1), "")</f>
        <v/>
      </c>
      <c r="D221" s="15" t="str">
        <f>IF(C221="","",IF(C221=C220, "", SUMIFS('2024'!D:D,C:C, C221)))</f>
        <v/>
      </c>
      <c r="E221" s="3" t="str">
        <f>IF(C221="","",IF(C221=C220, "", SUMIFS('2024'!U:U,C:C, C221)))</f>
        <v/>
      </c>
    </row>
    <row r="222" spans="1:5">
      <c r="A222">
        <v>243</v>
      </c>
      <c r="C222" s="16" t="str">
        <f>IFERROR(IF(ISBLANK('2024'!A222), C221,INDEX('2024'!$A$2:$A$369, MATCH(A222, '2024'!$B$2:$B$369, 0)) - WEEKDAY(INDEX('2024'!$A$2:$A$369, MATCH(A222, '2024'!$B$2:$B$369, 0)), 2) + 1), "")</f>
        <v/>
      </c>
      <c r="D222" s="15" t="str">
        <f>IF(C222="","",IF(C222=C221, "", SUMIFS('2024'!D:D,C:C, C222)))</f>
        <v/>
      </c>
      <c r="E222" s="3" t="str">
        <f>IF(C222="","",IF(C222=C221, "", SUMIFS('2024'!U:U,C:C, C222)))</f>
        <v/>
      </c>
    </row>
    <row r="223" spans="1:5">
      <c r="A223">
        <v>244</v>
      </c>
      <c r="C223" s="16" t="str">
        <f>IFERROR(IF(ISBLANK('2024'!A223), C222,INDEX('2024'!$A$2:$A$369, MATCH(A223, '2024'!$B$2:$B$369, 0)) - WEEKDAY(INDEX('2024'!$A$2:$A$369, MATCH(A223, '2024'!$B$2:$B$369, 0)), 2) + 1), "")</f>
        <v/>
      </c>
      <c r="D223" s="15" t="str">
        <f>IF(C223="","",IF(C223=C222, "", SUMIFS('2024'!D:D,C:C, C223)))</f>
        <v/>
      </c>
      <c r="E223" s="3" t="str">
        <f>IF(C223="","",IF(C223=C222, "", SUMIFS('2024'!U:U,C:C, C223)))</f>
        <v/>
      </c>
    </row>
    <row r="224" spans="1:5">
      <c r="A224">
        <v>245</v>
      </c>
      <c r="C224" s="16" t="str">
        <f>IFERROR(IF(ISBLANK('2024'!A224), C223,INDEX('2024'!$A$2:$A$369, MATCH(A224, '2024'!$B$2:$B$369, 0)) - WEEKDAY(INDEX('2024'!$A$2:$A$369, MATCH(A224, '2024'!$B$2:$B$369, 0)), 2) + 1), "")</f>
        <v/>
      </c>
      <c r="D224" s="15" t="str">
        <f>IF(C224="","",IF(C224=C223, "", SUMIFS('2024'!D:D,C:C, C224)))</f>
        <v/>
      </c>
      <c r="E224" s="3" t="str">
        <f>IF(C224="","",IF(C224=C223, "", SUMIFS('2024'!U:U,C:C, C224)))</f>
        <v/>
      </c>
    </row>
    <row r="225" spans="1:5">
      <c r="A225">
        <v>246</v>
      </c>
      <c r="C225" s="16" t="str">
        <f>IFERROR(IF(ISBLANK('2024'!A225), C224,INDEX('2024'!$A$2:$A$369, MATCH(A225, '2024'!$B$2:$B$369, 0)) - WEEKDAY(INDEX('2024'!$A$2:$A$369, MATCH(A225, '2024'!$B$2:$B$369, 0)), 2) + 1), "")</f>
        <v/>
      </c>
      <c r="D225" s="15" t="str">
        <f>IF(C225="","",IF(C225=C224, "", SUMIFS('2024'!D:D,C:C, C225)))</f>
        <v/>
      </c>
      <c r="E225" s="3" t="str">
        <f>IF(C225="","",IF(C225=C224, "", SUMIFS('2024'!U:U,C:C, C225)))</f>
        <v/>
      </c>
    </row>
    <row r="226" spans="1:5">
      <c r="A226">
        <v>247</v>
      </c>
      <c r="C226" s="16" t="str">
        <f>IFERROR(IF(ISBLANK('2024'!A226), C225,INDEX('2024'!$A$2:$A$369, MATCH(A226, '2024'!$B$2:$B$369, 0)) - WEEKDAY(INDEX('2024'!$A$2:$A$369, MATCH(A226, '2024'!$B$2:$B$369, 0)), 2) + 1), "")</f>
        <v/>
      </c>
      <c r="D226" s="15" t="str">
        <f>IF(C226="","",IF(C226=C225, "", SUMIFS('2024'!D:D,C:C, C226)))</f>
        <v/>
      </c>
      <c r="E226" s="3" t="str">
        <f>IF(C226="","",IF(C226=C225, "", SUMIFS('2024'!U:U,C:C, C226)))</f>
        <v/>
      </c>
    </row>
    <row r="227" spans="1:5">
      <c r="A227">
        <v>248</v>
      </c>
      <c r="C227" s="16" t="str">
        <f>IFERROR(IF(ISBLANK('2024'!A227), C226,INDEX('2024'!$A$2:$A$369, MATCH(A227, '2024'!$B$2:$B$369, 0)) - WEEKDAY(INDEX('2024'!$A$2:$A$369, MATCH(A227, '2024'!$B$2:$B$369, 0)), 2) + 1), "")</f>
        <v/>
      </c>
      <c r="D227" s="15" t="str">
        <f>IF(C227="","",IF(C227=C226, "", SUMIFS('2024'!D:D,C:C, C227)))</f>
        <v/>
      </c>
      <c r="E227" s="3" t="str">
        <f>IF(C227="","",IF(C227=C226, "", SUMIFS('2024'!U:U,C:C, C227)))</f>
        <v/>
      </c>
    </row>
    <row r="228" spans="1:5">
      <c r="A228">
        <v>249</v>
      </c>
      <c r="C228" s="16" t="str">
        <f>IFERROR(IF(ISBLANK('2024'!A228), C227,INDEX('2024'!$A$2:$A$369, MATCH(A228, '2024'!$B$2:$B$369, 0)) - WEEKDAY(INDEX('2024'!$A$2:$A$369, MATCH(A228, '2024'!$B$2:$B$369, 0)), 2) + 1), "")</f>
        <v/>
      </c>
      <c r="D228" s="15" t="str">
        <f>IF(C228="","",IF(C228=C227, "", SUMIFS('2024'!D:D,C:C, C228)))</f>
        <v/>
      </c>
      <c r="E228" s="3" t="str">
        <f>IF(C228="","",IF(C228=C227, "", SUMIFS('2024'!U:U,C:C, C228)))</f>
        <v/>
      </c>
    </row>
    <row r="229" spans="1:5">
      <c r="A229">
        <v>250</v>
      </c>
      <c r="C229" s="16" t="str">
        <f>IFERROR(IF(ISBLANK('2024'!A229), C228,INDEX('2024'!$A$2:$A$369, MATCH(A229, '2024'!$B$2:$B$369, 0)) - WEEKDAY(INDEX('2024'!$A$2:$A$369, MATCH(A229, '2024'!$B$2:$B$369, 0)), 2) + 1), "")</f>
        <v/>
      </c>
      <c r="D229" s="15" t="str">
        <f>IF(C229="","",IF(C229=C228, "", SUMIFS('2024'!D:D,C:C, C229)))</f>
        <v/>
      </c>
      <c r="E229" s="3" t="str">
        <f>IF(C229="","",IF(C229=C228, "", SUMIFS('2024'!U:U,C:C, C229)))</f>
        <v/>
      </c>
    </row>
    <row r="230" spans="1:5">
      <c r="A230">
        <v>251</v>
      </c>
      <c r="C230" s="16" t="str">
        <f>IFERROR(IF(ISBLANK('2024'!A230), C229,INDEX('2024'!$A$2:$A$369, MATCH(A230, '2024'!$B$2:$B$369, 0)) - WEEKDAY(INDEX('2024'!$A$2:$A$369, MATCH(A230, '2024'!$B$2:$B$369, 0)), 2) + 1), "")</f>
        <v/>
      </c>
      <c r="D230" s="15" t="str">
        <f>IF(C230="","",IF(C230=C229, "", SUMIFS('2024'!D:D,C:C, C230)))</f>
        <v/>
      </c>
      <c r="E230" s="3" t="str">
        <f>IF(C230="","",IF(C230=C229, "", SUMIFS('2024'!U:U,C:C, C230)))</f>
        <v/>
      </c>
    </row>
    <row r="231" spans="1:5">
      <c r="A231">
        <v>252</v>
      </c>
      <c r="C231" s="16" t="str">
        <f>IFERROR(IF(ISBLANK('2024'!A231), C230,INDEX('2024'!$A$2:$A$369, MATCH(A231, '2024'!$B$2:$B$369, 0)) - WEEKDAY(INDEX('2024'!$A$2:$A$369, MATCH(A231, '2024'!$B$2:$B$369, 0)), 2) + 1), "")</f>
        <v/>
      </c>
      <c r="D231" s="15" t="str">
        <f>IF(C231="","",IF(C231=C230, "", SUMIFS('2024'!D:D,C:C, C231)))</f>
        <v/>
      </c>
      <c r="E231" s="3" t="str">
        <f>IF(C231="","",IF(C231=C230, "", SUMIFS('2024'!U:U,C:C, C231)))</f>
        <v/>
      </c>
    </row>
    <row r="232" spans="1:5">
      <c r="A232">
        <v>253</v>
      </c>
      <c r="C232" s="16" t="str">
        <f>IFERROR(IF(ISBLANK('2024'!A232), C231,INDEX('2024'!$A$2:$A$369, MATCH(A232, '2024'!$B$2:$B$369, 0)) - WEEKDAY(INDEX('2024'!$A$2:$A$369, MATCH(A232, '2024'!$B$2:$B$369, 0)), 2) + 1), "")</f>
        <v/>
      </c>
      <c r="D232" s="15" t="str">
        <f>IF(C232="","",IF(C232=C231, "", SUMIFS('2024'!D:D,C:C, C232)))</f>
        <v/>
      </c>
      <c r="E232" s="3" t="str">
        <f>IF(C232="","",IF(C232=C231, "", SUMIFS('2024'!U:U,C:C, C232)))</f>
        <v/>
      </c>
    </row>
    <row r="233" spans="1:5">
      <c r="A233">
        <v>254</v>
      </c>
      <c r="C233" s="16" t="str">
        <f>IFERROR(IF(ISBLANK('2024'!A233), C232,INDEX('2024'!$A$2:$A$369, MATCH(A233, '2024'!$B$2:$B$369, 0)) - WEEKDAY(INDEX('2024'!$A$2:$A$369, MATCH(A233, '2024'!$B$2:$B$369, 0)), 2) + 1), "")</f>
        <v/>
      </c>
      <c r="D233" s="15" t="str">
        <f>IF(C233="","",IF(C233=C232, "", SUMIFS('2024'!D:D,C:C, C233)))</f>
        <v/>
      </c>
      <c r="E233" s="3" t="str">
        <f>IF(C233="","",IF(C233=C232, "", SUMIFS('2024'!U:U,C:C, C233)))</f>
        <v/>
      </c>
    </row>
    <row r="234" spans="1:5">
      <c r="A234">
        <v>255</v>
      </c>
      <c r="C234" s="16" t="str">
        <f>IFERROR(IF(ISBLANK('2024'!A234), C233,INDEX('2024'!$A$2:$A$369, MATCH(A234, '2024'!$B$2:$B$369, 0)) - WEEKDAY(INDEX('2024'!$A$2:$A$369, MATCH(A234, '2024'!$B$2:$B$369, 0)), 2) + 1), "")</f>
        <v/>
      </c>
      <c r="D234" s="15" t="str">
        <f>IF(C234="","",IF(C234=C233, "", SUMIFS('2024'!D:D,C:C, C234)))</f>
        <v/>
      </c>
      <c r="E234" s="3" t="str">
        <f>IF(C234="","",IF(C234=C233, "", SUMIFS('2024'!U:U,C:C, C234)))</f>
        <v/>
      </c>
    </row>
    <row r="235" spans="1:5">
      <c r="A235">
        <v>256</v>
      </c>
      <c r="C235" s="16" t="str">
        <f>IFERROR(IF(ISBLANK('2024'!A235), C234,INDEX('2024'!$A$2:$A$369, MATCH(A235, '2024'!$B$2:$B$369, 0)) - WEEKDAY(INDEX('2024'!$A$2:$A$369, MATCH(A235, '2024'!$B$2:$B$369, 0)), 2) + 1), "")</f>
        <v/>
      </c>
      <c r="D235" s="15" t="str">
        <f>IF(C235="","",IF(C235=C234, "", SUMIFS('2024'!D:D,C:C, C235)))</f>
        <v/>
      </c>
      <c r="E235" s="3" t="str">
        <f>IF(C235="","",IF(C235=C234, "", SUMIFS('2024'!U:U,C:C, C235)))</f>
        <v/>
      </c>
    </row>
    <row r="236" spans="1:5">
      <c r="A236">
        <v>257</v>
      </c>
      <c r="C236" s="16" t="str">
        <f>IFERROR(IF(ISBLANK('2024'!A236), C235,INDEX('2024'!$A$2:$A$369, MATCH(A236, '2024'!$B$2:$B$369, 0)) - WEEKDAY(INDEX('2024'!$A$2:$A$369, MATCH(A236, '2024'!$B$2:$B$369, 0)), 2) + 1), "")</f>
        <v/>
      </c>
      <c r="D236" s="15" t="str">
        <f>IF(C236="","",IF(C236=C235, "", SUMIFS('2024'!D:D,C:C, C236)))</f>
        <v/>
      </c>
      <c r="E236" s="3" t="str">
        <f>IF(C236="","",IF(C236=C235, "", SUMIFS('2024'!U:U,C:C, C236)))</f>
        <v/>
      </c>
    </row>
    <row r="237" spans="1:5">
      <c r="A237">
        <v>258</v>
      </c>
      <c r="C237" s="16" t="str">
        <f>IFERROR(IF(ISBLANK('2024'!A237), C236,INDEX('2024'!$A$2:$A$369, MATCH(A237, '2024'!$B$2:$B$369, 0)) - WEEKDAY(INDEX('2024'!$A$2:$A$369, MATCH(A237, '2024'!$B$2:$B$369, 0)), 2) + 1), "")</f>
        <v/>
      </c>
      <c r="D237" s="15" t="str">
        <f>IF(C237="","",IF(C237=C236, "", SUMIFS('2024'!D:D,C:C, C237)))</f>
        <v/>
      </c>
      <c r="E237" s="3" t="str">
        <f>IF(C237="","",IF(C237=C236, "", SUMIFS('2024'!U:U,C:C, C237)))</f>
        <v/>
      </c>
    </row>
    <row r="238" spans="1:5">
      <c r="A238">
        <v>259</v>
      </c>
      <c r="C238" s="16" t="str">
        <f>IFERROR(IF(ISBLANK('2024'!A238), C237,INDEX('2024'!$A$2:$A$369, MATCH(A238, '2024'!$B$2:$B$369, 0)) - WEEKDAY(INDEX('2024'!$A$2:$A$369, MATCH(A238, '2024'!$B$2:$B$369, 0)), 2) + 1), "")</f>
        <v/>
      </c>
      <c r="D238" s="15" t="str">
        <f>IF(C238="","",IF(C238=C237, "", SUMIFS('2024'!D:D,C:C, C238)))</f>
        <v/>
      </c>
      <c r="E238" s="3" t="str">
        <f>IF(C238="","",IF(C238=C237, "", SUMIFS('2024'!U:U,C:C, C238)))</f>
        <v/>
      </c>
    </row>
    <row r="239" spans="1:5">
      <c r="A239">
        <v>260</v>
      </c>
      <c r="C239" s="16" t="str">
        <f>IFERROR(IF(ISBLANK('2024'!A239), C238,INDEX('2024'!$A$2:$A$369, MATCH(A239, '2024'!$B$2:$B$369, 0)) - WEEKDAY(INDEX('2024'!$A$2:$A$369, MATCH(A239, '2024'!$B$2:$B$369, 0)), 2) + 1), "")</f>
        <v/>
      </c>
      <c r="D239" s="15" t="str">
        <f>IF(C239="","",IF(C239=C238, "", SUMIFS('2024'!D:D,C:C, C239)))</f>
        <v/>
      </c>
      <c r="E239" s="3" t="str">
        <f>IF(C239="","",IF(C239=C238, "", SUMIFS('2024'!U:U,C:C, C239)))</f>
        <v/>
      </c>
    </row>
    <row r="240" spans="1:5">
      <c r="A240">
        <v>261</v>
      </c>
      <c r="C240" s="16" t="str">
        <f>IFERROR(IF(ISBLANK('2024'!A240), C239,INDEX('2024'!$A$2:$A$369, MATCH(A240, '2024'!$B$2:$B$369, 0)) - WEEKDAY(INDEX('2024'!$A$2:$A$369, MATCH(A240, '2024'!$B$2:$B$369, 0)), 2) + 1), "")</f>
        <v/>
      </c>
      <c r="D240" s="15" t="str">
        <f>IF(C240="","",IF(C240=C239, "", SUMIFS('2024'!D:D,C:C, C240)))</f>
        <v/>
      </c>
      <c r="E240" s="3" t="str">
        <f>IF(C240="","",IF(C240=C239, "", SUMIFS('2024'!U:U,C:C, C240)))</f>
        <v/>
      </c>
    </row>
    <row r="241" spans="1:5">
      <c r="A241">
        <v>262</v>
      </c>
      <c r="C241" s="16" t="str">
        <f>IFERROR(IF(ISBLANK('2024'!A241), C240,INDEX('2024'!$A$2:$A$369, MATCH(A241, '2024'!$B$2:$B$369, 0)) - WEEKDAY(INDEX('2024'!$A$2:$A$369, MATCH(A241, '2024'!$B$2:$B$369, 0)), 2) + 1), "")</f>
        <v/>
      </c>
      <c r="D241" s="15" t="str">
        <f>IF(C241="","",IF(C241=C240, "", SUMIFS('2024'!D:D,C:C, C241)))</f>
        <v/>
      </c>
      <c r="E241" s="3" t="str">
        <f>IF(C241="","",IF(C241=C240, "", SUMIFS('2024'!U:U,C:C, C241)))</f>
        <v/>
      </c>
    </row>
    <row r="242" spans="1:5">
      <c r="A242">
        <v>263</v>
      </c>
      <c r="C242" s="16" t="str">
        <f>IFERROR(IF(ISBLANK('2024'!A242), C241,INDEX('2024'!$A$2:$A$369, MATCH(A242, '2024'!$B$2:$B$369, 0)) - WEEKDAY(INDEX('2024'!$A$2:$A$369, MATCH(A242, '2024'!$B$2:$B$369, 0)), 2) + 1), "")</f>
        <v/>
      </c>
      <c r="D242" s="15" t="str">
        <f>IF(C242="","",IF(C242=C241, "", SUMIFS('2024'!D:D,C:C, C242)))</f>
        <v/>
      </c>
      <c r="E242" s="3" t="str">
        <f>IF(C242="","",IF(C242=C241, "", SUMIFS('2024'!U:U,C:C, C242)))</f>
        <v/>
      </c>
    </row>
    <row r="243" spans="1:5">
      <c r="A243">
        <v>264</v>
      </c>
      <c r="C243" s="16" t="str">
        <f>IFERROR(IF(ISBLANK('2024'!A243), C242,INDEX('2024'!$A$2:$A$369, MATCH(A243, '2024'!$B$2:$B$369, 0)) - WEEKDAY(INDEX('2024'!$A$2:$A$369, MATCH(A243, '2024'!$B$2:$B$369, 0)), 2) + 1), "")</f>
        <v/>
      </c>
      <c r="D243" s="15" t="str">
        <f>IF(C243="","",IF(C243=C242, "", SUMIFS('2024'!D:D,C:C, C243)))</f>
        <v/>
      </c>
      <c r="E243" s="3" t="str">
        <f>IF(C243="","",IF(C243=C242, "", SUMIFS('2024'!U:U,C:C, C243)))</f>
        <v/>
      </c>
    </row>
    <row r="244" spans="1:5">
      <c r="A244">
        <v>265</v>
      </c>
      <c r="C244" s="16" t="str">
        <f>IFERROR(IF(ISBLANK('2024'!A244), C243,INDEX('2024'!$A$2:$A$369, MATCH(A244, '2024'!$B$2:$B$369, 0)) - WEEKDAY(INDEX('2024'!$A$2:$A$369, MATCH(A244, '2024'!$B$2:$B$369, 0)), 2) + 1), "")</f>
        <v/>
      </c>
      <c r="D244" s="15" t="str">
        <f>IF(C244="","",IF(C244=C243, "", SUMIFS('2024'!D:D,C:C, C244)))</f>
        <v/>
      </c>
      <c r="E244" s="3" t="str">
        <f>IF(C244="","",IF(C244=C243, "", SUMIFS('2024'!U:U,C:C, C244)))</f>
        <v/>
      </c>
    </row>
    <row r="245" spans="1:5">
      <c r="A245">
        <v>266</v>
      </c>
      <c r="C245" s="16" t="str">
        <f>IFERROR(IF(ISBLANK('2024'!A245), C244,INDEX('2024'!$A$2:$A$369, MATCH(A245, '2024'!$B$2:$B$369, 0)) - WEEKDAY(INDEX('2024'!$A$2:$A$369, MATCH(A245, '2024'!$B$2:$B$369, 0)), 2) + 1), "")</f>
        <v/>
      </c>
      <c r="D245" s="15" t="str">
        <f>IF(C245="","",IF(C245=C244, "", SUMIFS('2024'!D:D,C:C, C245)))</f>
        <v/>
      </c>
      <c r="E245" s="3" t="str">
        <f>IF(C245="","",IF(C245=C244, "", SUMIFS('2024'!U:U,C:C, C245)))</f>
        <v/>
      </c>
    </row>
    <row r="246" spans="1:5">
      <c r="A246">
        <v>267</v>
      </c>
      <c r="C246" s="16" t="str">
        <f>IFERROR(IF(ISBLANK('2024'!A246), C245,INDEX('2024'!$A$2:$A$369, MATCH(A246, '2024'!$B$2:$B$369, 0)) - WEEKDAY(INDEX('2024'!$A$2:$A$369, MATCH(A246, '2024'!$B$2:$B$369, 0)), 2) + 1), "")</f>
        <v/>
      </c>
      <c r="D246" s="15" t="str">
        <f>IF(C246="","",IF(C246=C245, "", SUMIFS('2024'!D:D,C:C, C246)))</f>
        <v/>
      </c>
      <c r="E246" s="3" t="str">
        <f>IF(C246="","",IF(C246=C245, "", SUMIFS('2024'!U:U,C:C, C246)))</f>
        <v/>
      </c>
    </row>
    <row r="247" spans="1:5">
      <c r="A247">
        <v>268</v>
      </c>
      <c r="C247" s="16" t="str">
        <f>IFERROR(IF(ISBLANK('2024'!A247), C246,INDEX('2024'!$A$2:$A$369, MATCH(A247, '2024'!$B$2:$B$369, 0)) - WEEKDAY(INDEX('2024'!$A$2:$A$369, MATCH(A247, '2024'!$B$2:$B$369, 0)), 2) + 1), "")</f>
        <v/>
      </c>
      <c r="D247" s="15" t="str">
        <f>IF(C247="","",IF(C247=C246, "", SUMIFS('2024'!D:D,C:C, C247)))</f>
        <v/>
      </c>
      <c r="E247" s="3" t="str">
        <f>IF(C247="","",IF(C247=C246, "", SUMIFS('2024'!U:U,C:C, C247)))</f>
        <v/>
      </c>
    </row>
    <row r="248" spans="1:5">
      <c r="A248">
        <v>269</v>
      </c>
      <c r="C248" s="16" t="str">
        <f>IFERROR(IF(ISBLANK('2024'!A248), C247,INDEX('2024'!$A$2:$A$369, MATCH(A248, '2024'!$B$2:$B$369, 0)) - WEEKDAY(INDEX('2024'!$A$2:$A$369, MATCH(A248, '2024'!$B$2:$B$369, 0)), 2) + 1), "")</f>
        <v/>
      </c>
      <c r="D248" s="15" t="str">
        <f>IF(C248="","",IF(C248=C247, "", SUMIFS('2024'!D:D,C:C, C248)))</f>
        <v/>
      </c>
      <c r="E248" s="3" t="str">
        <f>IF(C248="","",IF(C248=C247, "", SUMIFS('2024'!U:U,C:C, C248)))</f>
        <v/>
      </c>
    </row>
    <row r="249" spans="1:5">
      <c r="A249">
        <v>270</v>
      </c>
      <c r="C249" s="16" t="str">
        <f>IFERROR(IF(ISBLANK('2024'!A249), C248,INDEX('2024'!$A$2:$A$369, MATCH(A249, '2024'!$B$2:$B$369, 0)) - WEEKDAY(INDEX('2024'!$A$2:$A$369, MATCH(A249, '2024'!$B$2:$B$369, 0)), 2) + 1), "")</f>
        <v/>
      </c>
      <c r="D249" s="15" t="str">
        <f>IF(C249="","",IF(C249=C248, "", SUMIFS('2024'!D:D,C:C, C249)))</f>
        <v/>
      </c>
      <c r="E249" s="3" t="str">
        <f>IF(C249="","",IF(C249=C248, "", SUMIFS('2024'!U:U,C:C, C249)))</f>
        <v/>
      </c>
    </row>
    <row r="250" spans="1:5">
      <c r="A250">
        <v>271</v>
      </c>
      <c r="C250" s="16" t="str">
        <f>IFERROR(IF(ISBLANK('2024'!A250), C249,INDEX('2024'!$A$2:$A$369, MATCH(A250, '2024'!$B$2:$B$369, 0)) - WEEKDAY(INDEX('2024'!$A$2:$A$369, MATCH(A250, '2024'!$B$2:$B$369, 0)), 2) + 1), "")</f>
        <v/>
      </c>
      <c r="D250" s="15" t="str">
        <f>IF(C250="","",IF(C250=C249, "", SUMIFS('2024'!D:D,C:C, C250)))</f>
        <v/>
      </c>
      <c r="E250" s="3" t="str">
        <f>IF(C250="","",IF(C250=C249, "", SUMIFS('2024'!U:U,C:C, C250)))</f>
        <v/>
      </c>
    </row>
    <row r="251" spans="1:5">
      <c r="A251">
        <v>272</v>
      </c>
      <c r="C251" s="16" t="str">
        <f>IFERROR(IF(ISBLANK('2024'!A251), C250,INDEX('2024'!$A$2:$A$369, MATCH(A251, '2024'!$B$2:$B$369, 0)) - WEEKDAY(INDEX('2024'!$A$2:$A$369, MATCH(A251, '2024'!$B$2:$B$369, 0)), 2) + 1), "")</f>
        <v/>
      </c>
      <c r="D251" s="15" t="str">
        <f>IF(C251="","",IF(C251=C250, "", SUMIFS('2024'!D:D,C:C, C251)))</f>
        <v/>
      </c>
      <c r="E251" s="3" t="str">
        <f>IF(C251="","",IF(C251=C250, "", SUMIFS('2024'!U:U,C:C, C251)))</f>
        <v/>
      </c>
    </row>
    <row r="252" spans="1:5">
      <c r="A252">
        <v>273</v>
      </c>
      <c r="C252" s="16" t="str">
        <f>IFERROR(IF(ISBLANK('2024'!A252), C251,INDEX('2024'!$A$2:$A$369, MATCH(A252, '2024'!$B$2:$B$369, 0)) - WEEKDAY(INDEX('2024'!$A$2:$A$369, MATCH(A252, '2024'!$B$2:$B$369, 0)), 2) + 1), "")</f>
        <v/>
      </c>
      <c r="D252" s="15" t="str">
        <f>IF(C252="","",IF(C252=C251, "", SUMIFS('2024'!D:D,C:C, C252)))</f>
        <v/>
      </c>
      <c r="E252" s="3" t="str">
        <f>IF(C252="","",IF(C252=C251, "", SUMIFS('2024'!U:U,C:C, C252)))</f>
        <v/>
      </c>
    </row>
    <row r="253" spans="1:5">
      <c r="A253">
        <v>274</v>
      </c>
      <c r="C253" s="16" t="str">
        <f>IFERROR(IF(ISBLANK('2024'!A253), C252,INDEX('2024'!$A$2:$A$369, MATCH(A253, '2024'!$B$2:$B$369, 0)) - WEEKDAY(INDEX('2024'!$A$2:$A$369, MATCH(A253, '2024'!$B$2:$B$369, 0)), 2) + 1), "")</f>
        <v/>
      </c>
      <c r="D253" s="15" t="str">
        <f>IF(C253="","",IF(C253=C252, "", SUMIFS('2024'!D:D,C:C, C253)))</f>
        <v/>
      </c>
      <c r="E253" s="3" t="str">
        <f>IF(C253="","",IF(C253=C252, "", SUMIFS('2024'!U:U,C:C, C253)))</f>
        <v/>
      </c>
    </row>
    <row r="254" spans="1:5">
      <c r="A254">
        <v>275</v>
      </c>
      <c r="C254" s="16" t="str">
        <f>IFERROR(IF(ISBLANK('2024'!A254), C253,INDEX('2024'!$A$2:$A$369, MATCH(A254, '2024'!$B$2:$B$369, 0)) - WEEKDAY(INDEX('2024'!$A$2:$A$369, MATCH(A254, '2024'!$B$2:$B$369, 0)), 2) + 1), "")</f>
        <v/>
      </c>
      <c r="D254" s="15" t="str">
        <f>IF(C254="","",IF(C254=C253, "", SUMIFS('2024'!D:D,C:C, C254)))</f>
        <v/>
      </c>
      <c r="E254" s="3" t="str">
        <f>IF(C254="","",IF(C254=C253, "", SUMIFS('2024'!U:U,C:C, C254)))</f>
        <v/>
      </c>
    </row>
    <row r="255" spans="1:5">
      <c r="A255">
        <v>276</v>
      </c>
      <c r="C255" s="16" t="str">
        <f>IFERROR(IF(ISBLANK('2024'!A255), C254,INDEX('2024'!$A$2:$A$369, MATCH(A255, '2024'!$B$2:$B$369, 0)) - WEEKDAY(INDEX('2024'!$A$2:$A$369, MATCH(A255, '2024'!$B$2:$B$369, 0)), 2) + 1), "")</f>
        <v/>
      </c>
      <c r="D255" s="15" t="str">
        <f>IF(C255="","",IF(C255=C254, "", SUMIFS('2024'!D:D,C:C, C255)))</f>
        <v/>
      </c>
      <c r="E255" s="3" t="str">
        <f>IF(C255="","",IF(C255=C254, "", SUMIFS('2024'!U:U,C:C, C255)))</f>
        <v/>
      </c>
    </row>
    <row r="256" spans="1:5">
      <c r="A256">
        <v>277</v>
      </c>
      <c r="C256" s="16" t="str">
        <f>IFERROR(IF(ISBLANK('2024'!A256), C255,INDEX('2024'!$A$2:$A$369, MATCH(A256, '2024'!$B$2:$B$369, 0)) - WEEKDAY(INDEX('2024'!$A$2:$A$369, MATCH(A256, '2024'!$B$2:$B$369, 0)), 2) + 1), "")</f>
        <v/>
      </c>
      <c r="D256" s="15" t="str">
        <f>IF(C256="","",IF(C256=C255, "", SUMIFS('2024'!D:D,C:C, C256)))</f>
        <v/>
      </c>
      <c r="E256" s="3" t="str">
        <f>IF(C256="","",IF(C256=C255, "", SUMIFS('2024'!U:U,C:C, C256)))</f>
        <v/>
      </c>
    </row>
    <row r="257" spans="1:5">
      <c r="A257">
        <v>278</v>
      </c>
      <c r="C257" s="16" t="str">
        <f>IFERROR(IF(ISBLANK('2024'!A257), C256,INDEX('2024'!$A$2:$A$369, MATCH(A257, '2024'!$B$2:$B$369, 0)) - WEEKDAY(INDEX('2024'!$A$2:$A$369, MATCH(A257, '2024'!$B$2:$B$369, 0)), 2) + 1), "")</f>
        <v/>
      </c>
      <c r="D257" s="15" t="str">
        <f>IF(C257="","",IF(C257=C256, "", SUMIFS('2024'!D:D,C:C, C257)))</f>
        <v/>
      </c>
      <c r="E257" s="3" t="str">
        <f>IF(C257="","",IF(C257=C256, "", SUMIFS('2024'!U:U,C:C, C257)))</f>
        <v/>
      </c>
    </row>
    <row r="258" spans="1:5">
      <c r="A258">
        <v>279</v>
      </c>
      <c r="C258" s="16" t="str">
        <f>IFERROR(IF(ISBLANK('2024'!A258), C257,INDEX('2024'!$A$2:$A$369, MATCH(A258, '2024'!$B$2:$B$369, 0)) - WEEKDAY(INDEX('2024'!$A$2:$A$369, MATCH(A258, '2024'!$B$2:$B$369, 0)), 2) + 1), "")</f>
        <v/>
      </c>
      <c r="D258" s="15" t="str">
        <f>IF(C258="","",IF(C258=C257, "", SUMIFS('2024'!D:D,C:C, C258)))</f>
        <v/>
      </c>
      <c r="E258" s="3" t="str">
        <f>IF(C258="","",IF(C258=C257, "", SUMIFS('2024'!U:U,C:C, C258)))</f>
        <v/>
      </c>
    </row>
    <row r="259" spans="1:5">
      <c r="A259">
        <v>280</v>
      </c>
      <c r="C259" s="16" t="str">
        <f>IFERROR(IF(ISBLANK('2024'!A259), C258,INDEX('2024'!$A$2:$A$369, MATCH(A259, '2024'!$B$2:$B$369, 0)) - WEEKDAY(INDEX('2024'!$A$2:$A$369, MATCH(A259, '2024'!$B$2:$B$369, 0)), 2) + 1), "")</f>
        <v/>
      </c>
      <c r="D259" s="15" t="str">
        <f>IF(C259="","",IF(C259=C258, "", SUMIFS('2024'!D:D,C:C, C259)))</f>
        <v/>
      </c>
      <c r="E259" s="3" t="str">
        <f>IF(C259="","",IF(C259=C258, "", SUMIFS('2024'!U:U,C:C, C259)))</f>
        <v/>
      </c>
    </row>
    <row r="260" spans="1:5">
      <c r="A260">
        <v>281</v>
      </c>
      <c r="C260" s="16" t="str">
        <f>IFERROR(IF(ISBLANK('2024'!A260), C259,INDEX('2024'!$A$2:$A$369, MATCH(A260, '2024'!$B$2:$B$369, 0)) - WEEKDAY(INDEX('2024'!$A$2:$A$369, MATCH(A260, '2024'!$B$2:$B$369, 0)), 2) + 1), "")</f>
        <v/>
      </c>
      <c r="D260" s="15" t="str">
        <f>IF(C260="","",IF(C260=C259, "", SUMIFS('2024'!D:D,C:C, C260)))</f>
        <v/>
      </c>
      <c r="E260" s="3" t="str">
        <f>IF(C260="","",IF(C260=C259, "", SUMIFS('2024'!U:U,C:C, C260)))</f>
        <v/>
      </c>
    </row>
    <row r="261" spans="1:5">
      <c r="A261">
        <v>282</v>
      </c>
      <c r="C261" s="16" t="str">
        <f>IFERROR(IF(ISBLANK('2024'!A261), C260,INDEX('2024'!$A$2:$A$369, MATCH(A261, '2024'!$B$2:$B$369, 0)) - WEEKDAY(INDEX('2024'!$A$2:$A$369, MATCH(A261, '2024'!$B$2:$B$369, 0)), 2) + 1), "")</f>
        <v/>
      </c>
      <c r="D261" s="15" t="str">
        <f>IF(C261="","",IF(C261=C260, "", SUMIFS('2024'!D:D,C:C, C261)))</f>
        <v/>
      </c>
      <c r="E261" s="3" t="str">
        <f>IF(C261="","",IF(C261=C260, "", SUMIFS('2024'!U:U,C:C, C261)))</f>
        <v/>
      </c>
    </row>
    <row r="262" spans="1:5">
      <c r="A262">
        <v>283</v>
      </c>
      <c r="C262" s="16" t="str">
        <f>IFERROR(IF(ISBLANK('2024'!A262), C261,INDEX('2024'!$A$2:$A$369, MATCH(A262, '2024'!$B$2:$B$369, 0)) - WEEKDAY(INDEX('2024'!$A$2:$A$369, MATCH(A262, '2024'!$B$2:$B$369, 0)), 2) + 1), "")</f>
        <v/>
      </c>
      <c r="D262" s="15" t="str">
        <f>IF(C262="","",IF(C262=C261, "", SUMIFS('2024'!D:D,C:C, C262)))</f>
        <v/>
      </c>
      <c r="E262" s="3" t="str">
        <f>IF(C262="","",IF(C262=C261, "", SUMIFS('2024'!U:U,C:C, C262)))</f>
        <v/>
      </c>
    </row>
    <row r="263" spans="1:5">
      <c r="A263">
        <v>284</v>
      </c>
      <c r="C263" s="16" t="str">
        <f>IFERROR(IF(ISBLANK('2024'!A263), C262,INDEX('2024'!$A$2:$A$369, MATCH(A263, '2024'!$B$2:$B$369, 0)) - WEEKDAY(INDEX('2024'!$A$2:$A$369, MATCH(A263, '2024'!$B$2:$B$369, 0)), 2) + 1), "")</f>
        <v/>
      </c>
      <c r="D263" s="15" t="str">
        <f>IF(C263="","",IF(C263=C262, "", SUMIFS('2024'!D:D,C:C, C263)))</f>
        <v/>
      </c>
      <c r="E263" s="3" t="str">
        <f>IF(C263="","",IF(C263=C262, "", SUMIFS('2024'!U:U,C:C, C263)))</f>
        <v/>
      </c>
    </row>
    <row r="264" spans="1:5">
      <c r="A264">
        <v>285</v>
      </c>
      <c r="C264" s="16" t="str">
        <f>IFERROR(IF(ISBLANK('2024'!A264), C263,INDEX('2024'!$A$2:$A$369, MATCH(A264, '2024'!$B$2:$B$369, 0)) - WEEKDAY(INDEX('2024'!$A$2:$A$369, MATCH(A264, '2024'!$B$2:$B$369, 0)), 2) + 1), "")</f>
        <v/>
      </c>
      <c r="D264" s="15" t="str">
        <f>IF(C264="","",IF(C264=C263, "", SUMIFS('2024'!D:D,C:C, C264)))</f>
        <v/>
      </c>
      <c r="E264" s="3" t="str">
        <f>IF(C264="","",IF(C264=C263, "", SUMIFS('2024'!U:U,C:C, C264)))</f>
        <v/>
      </c>
    </row>
    <row r="265" spans="1:5">
      <c r="A265">
        <v>286</v>
      </c>
      <c r="C265" s="16" t="str">
        <f>IFERROR(IF(ISBLANK('2024'!A265), C264,INDEX('2024'!$A$2:$A$369, MATCH(A265, '2024'!$B$2:$B$369, 0)) - WEEKDAY(INDEX('2024'!$A$2:$A$369, MATCH(A265, '2024'!$B$2:$B$369, 0)), 2) + 1), "")</f>
        <v/>
      </c>
      <c r="D265" s="15" t="str">
        <f>IF(C265="","",IF(C265=C264, "", SUMIFS('2024'!D:D,C:C, C265)))</f>
        <v/>
      </c>
      <c r="E265" s="3" t="str">
        <f>IF(C265="","",IF(C265=C264, "", SUMIFS('2024'!U:U,C:C, C265)))</f>
        <v/>
      </c>
    </row>
    <row r="266" spans="1:5">
      <c r="A266">
        <v>287</v>
      </c>
      <c r="C266" s="16" t="str">
        <f>IFERROR(IF(ISBLANK('2024'!A266), C265,INDEX('2024'!$A$2:$A$369, MATCH(A266, '2024'!$B$2:$B$369, 0)) - WEEKDAY(INDEX('2024'!$A$2:$A$369, MATCH(A266, '2024'!$B$2:$B$369, 0)), 2) + 1), "")</f>
        <v/>
      </c>
      <c r="D266" s="15" t="str">
        <f>IF(C266="","",IF(C266=C265, "", SUMIFS('2024'!D:D,C:C, C266)))</f>
        <v/>
      </c>
      <c r="E266" s="3" t="str">
        <f>IF(C266="","",IF(C266=C265, "", SUMIFS('2024'!U:U,C:C, C266)))</f>
        <v/>
      </c>
    </row>
    <row r="267" spans="1:5">
      <c r="A267">
        <v>288</v>
      </c>
      <c r="C267" s="16" t="str">
        <f>IFERROR(IF(ISBLANK('2024'!A267), C266,INDEX('2024'!$A$2:$A$369, MATCH(A267, '2024'!$B$2:$B$369, 0)) - WEEKDAY(INDEX('2024'!$A$2:$A$369, MATCH(A267, '2024'!$B$2:$B$369, 0)), 2) + 1), "")</f>
        <v/>
      </c>
      <c r="D267" s="15" t="str">
        <f>IF(C267="","",IF(C267=C266, "", SUMIFS('2024'!D:D,C:C, C267)))</f>
        <v/>
      </c>
      <c r="E267" s="3" t="str">
        <f>IF(C267="","",IF(C267=C266, "", SUMIFS('2024'!U:U,C:C, C267)))</f>
        <v/>
      </c>
    </row>
    <row r="268" spans="1:5">
      <c r="A268">
        <v>289</v>
      </c>
      <c r="C268" s="16" t="str">
        <f>IFERROR(IF(ISBLANK('2024'!A268), C267,INDEX('2024'!$A$2:$A$369, MATCH(A268, '2024'!$B$2:$B$369, 0)) - WEEKDAY(INDEX('2024'!$A$2:$A$369, MATCH(A268, '2024'!$B$2:$B$369, 0)), 2) + 1), "")</f>
        <v/>
      </c>
      <c r="D268" s="15" t="str">
        <f>IF(C268="","",IF(C268=C267, "", SUMIFS('2024'!D:D,C:C, C268)))</f>
        <v/>
      </c>
      <c r="E268" s="3" t="str">
        <f>IF(C268="","",IF(C268=C267, "", SUMIFS('2024'!U:U,C:C, C268)))</f>
        <v/>
      </c>
    </row>
    <row r="269" spans="1:5">
      <c r="A269">
        <v>290</v>
      </c>
      <c r="C269" s="16" t="str">
        <f>IFERROR(IF(ISBLANK('2024'!A269), C268,INDEX('2024'!$A$2:$A$369, MATCH(A269, '2024'!$B$2:$B$369, 0)) - WEEKDAY(INDEX('2024'!$A$2:$A$369, MATCH(A269, '2024'!$B$2:$B$369, 0)), 2) + 1), "")</f>
        <v/>
      </c>
      <c r="D269" s="15" t="str">
        <f>IF(C269="","",IF(C269=C268, "", SUMIFS('2024'!D:D,C:C, C269)))</f>
        <v/>
      </c>
      <c r="E269" s="3" t="str">
        <f>IF(C269="","",IF(C269=C268, "", SUMIFS('2024'!U:U,C:C, C269)))</f>
        <v/>
      </c>
    </row>
    <row r="270" spans="1:5">
      <c r="A270">
        <v>291</v>
      </c>
      <c r="C270" s="16" t="str">
        <f>IFERROR(IF(ISBLANK('2024'!A270), C269,INDEX('2024'!$A$2:$A$369, MATCH(A270, '2024'!$B$2:$B$369, 0)) - WEEKDAY(INDEX('2024'!$A$2:$A$369, MATCH(A270, '2024'!$B$2:$B$369, 0)), 2) + 1), "")</f>
        <v/>
      </c>
      <c r="D270" s="15" t="str">
        <f>IF(C270="","",IF(C270=C269, "", SUMIFS('2024'!D:D,C:C, C270)))</f>
        <v/>
      </c>
      <c r="E270" s="3" t="str">
        <f>IF(C270="","",IF(C270=C269, "", SUMIFS('2024'!U:U,C:C, C270)))</f>
        <v/>
      </c>
    </row>
    <row r="271" spans="1:5">
      <c r="A271">
        <v>292</v>
      </c>
      <c r="C271" s="16" t="str">
        <f>IFERROR(IF(ISBLANK('2024'!A271), C270,INDEX('2024'!$A$2:$A$369, MATCH(A271, '2024'!$B$2:$B$369, 0)) - WEEKDAY(INDEX('2024'!$A$2:$A$369, MATCH(A271, '2024'!$B$2:$B$369, 0)), 2) + 1), "")</f>
        <v/>
      </c>
      <c r="D271" s="15" t="str">
        <f>IF(C271="","",IF(C271=C270, "", SUMIFS('2024'!D:D,C:C, C271)))</f>
        <v/>
      </c>
      <c r="E271" s="3" t="str">
        <f>IF(C271="","",IF(C271=C270, "", SUMIFS('2024'!U:U,C:C, C271)))</f>
        <v/>
      </c>
    </row>
    <row r="272" spans="1:5">
      <c r="A272">
        <v>293</v>
      </c>
      <c r="C272" s="16" t="str">
        <f>IFERROR(IF(ISBLANK('2024'!A272), C271,INDEX('2024'!$A$2:$A$369, MATCH(A272, '2024'!$B$2:$B$369, 0)) - WEEKDAY(INDEX('2024'!$A$2:$A$369, MATCH(A272, '2024'!$B$2:$B$369, 0)), 2) + 1), "")</f>
        <v/>
      </c>
      <c r="D272" s="15" t="str">
        <f>IF(C272="","",IF(C272=C271, "", SUMIFS('2024'!D:D,C:C, C272)))</f>
        <v/>
      </c>
      <c r="E272" s="3" t="str">
        <f>IF(C272="","",IF(C272=C271, "", SUMIFS('2024'!U:U,C:C, C272)))</f>
        <v/>
      </c>
    </row>
    <row r="273" spans="1:5">
      <c r="A273">
        <v>294</v>
      </c>
      <c r="C273" s="16" t="str">
        <f>IFERROR(IF(ISBLANK('2024'!A273), C272,INDEX('2024'!$A$2:$A$369, MATCH(A273, '2024'!$B$2:$B$369, 0)) - WEEKDAY(INDEX('2024'!$A$2:$A$369, MATCH(A273, '2024'!$B$2:$B$369, 0)), 2) + 1), "")</f>
        <v/>
      </c>
      <c r="D273" s="15" t="str">
        <f>IF(C273="","",IF(C273=C272, "", SUMIFS('2024'!D:D,C:C, C273)))</f>
        <v/>
      </c>
      <c r="E273" s="3" t="str">
        <f>IF(C273="","",IF(C273=C272, "", SUMIFS('2024'!U:U,C:C, C273)))</f>
        <v/>
      </c>
    </row>
    <row r="274" spans="1:5">
      <c r="A274">
        <v>295</v>
      </c>
      <c r="C274" s="16" t="str">
        <f>IFERROR(IF(ISBLANK('2024'!A274), C273,INDEX('2024'!$A$2:$A$369, MATCH(A274, '2024'!$B$2:$B$369, 0)) - WEEKDAY(INDEX('2024'!$A$2:$A$369, MATCH(A274, '2024'!$B$2:$B$369, 0)), 2) + 1), "")</f>
        <v/>
      </c>
      <c r="D274" s="15" t="str">
        <f>IF(C274="","",IF(C274=C273, "", SUMIFS('2024'!D:D,C:C, C274)))</f>
        <v/>
      </c>
      <c r="E274" s="3" t="str">
        <f>IF(C274="","",IF(C274=C273, "", SUMIFS('2024'!U:U,C:C, C274)))</f>
        <v/>
      </c>
    </row>
    <row r="275" spans="1:5">
      <c r="A275">
        <v>296</v>
      </c>
      <c r="C275" s="16" t="str">
        <f>IFERROR(IF(ISBLANK('2024'!A275), C274,INDEX('2024'!$A$2:$A$369, MATCH(A275, '2024'!$B$2:$B$369, 0)) - WEEKDAY(INDEX('2024'!$A$2:$A$369, MATCH(A275, '2024'!$B$2:$B$369, 0)), 2) + 1), "")</f>
        <v/>
      </c>
      <c r="D275" s="15" t="str">
        <f>IF(C275="","",IF(C275=C274, "", SUMIFS('2024'!D:D,C:C, C275)))</f>
        <v/>
      </c>
      <c r="E275" s="3" t="str">
        <f>IF(C275="","",IF(C275=C274, "", SUMIFS('2024'!U:U,C:C, C275)))</f>
        <v/>
      </c>
    </row>
    <row r="276" spans="1:5">
      <c r="A276">
        <v>297</v>
      </c>
      <c r="C276" s="16" t="str">
        <f>IFERROR(IF(ISBLANK('2024'!A276), C275,INDEX('2024'!$A$2:$A$369, MATCH(A276, '2024'!$B$2:$B$369, 0)) - WEEKDAY(INDEX('2024'!$A$2:$A$369, MATCH(A276, '2024'!$B$2:$B$369, 0)), 2) + 1), "")</f>
        <v/>
      </c>
      <c r="D276" s="15" t="str">
        <f>IF(C276="","",IF(C276=C275, "", SUMIFS('2024'!D:D,C:C, C276)))</f>
        <v/>
      </c>
      <c r="E276" s="3" t="str">
        <f>IF(C276="","",IF(C276=C275, "", SUMIFS('2024'!U:U,C:C, C276)))</f>
        <v/>
      </c>
    </row>
    <row r="277" spans="1:5">
      <c r="A277">
        <v>298</v>
      </c>
      <c r="C277" s="16" t="str">
        <f>IFERROR(IF(ISBLANK('2024'!A277), C276,INDEX('2024'!$A$2:$A$369, MATCH(A277, '2024'!$B$2:$B$369, 0)) - WEEKDAY(INDEX('2024'!$A$2:$A$369, MATCH(A277, '2024'!$B$2:$B$369, 0)), 2) + 1), "")</f>
        <v/>
      </c>
      <c r="D277" s="15" t="str">
        <f>IF(C277="","",IF(C277=C276, "", SUMIFS('2024'!D:D,C:C, C277)))</f>
        <v/>
      </c>
      <c r="E277" s="3" t="str">
        <f>IF(C277="","",IF(C277=C276, "", SUMIFS('2024'!U:U,C:C, C277)))</f>
        <v/>
      </c>
    </row>
    <row r="278" spans="1:5">
      <c r="A278">
        <v>299</v>
      </c>
      <c r="C278" s="16" t="str">
        <f>IFERROR(IF(ISBLANK('2024'!A278), C277,INDEX('2024'!$A$2:$A$369, MATCH(A278, '2024'!$B$2:$B$369, 0)) - WEEKDAY(INDEX('2024'!$A$2:$A$369, MATCH(A278, '2024'!$B$2:$B$369, 0)), 2) + 1), "")</f>
        <v/>
      </c>
      <c r="D278" s="15" t="str">
        <f>IF(C278="","",IF(C278=C277, "", SUMIFS('2024'!D:D,C:C, C278)))</f>
        <v/>
      </c>
      <c r="E278" s="3" t="str">
        <f>IF(C278="","",IF(C278=C277, "", SUMIFS('2024'!U:U,C:C, C278)))</f>
        <v/>
      </c>
    </row>
    <row r="279" spans="1:5">
      <c r="A279">
        <v>300</v>
      </c>
      <c r="C279" s="16" t="str">
        <f>IFERROR(IF(ISBLANK('2024'!A279), C278,INDEX('2024'!$A$2:$A$369, MATCH(A279, '2024'!$B$2:$B$369, 0)) - WEEKDAY(INDEX('2024'!$A$2:$A$369, MATCH(A279, '2024'!$B$2:$B$369, 0)), 2) + 1), "")</f>
        <v/>
      </c>
      <c r="D279" s="15" t="str">
        <f>IF(C279="","",IF(C279=C278, "", SUMIFS('2024'!D:D,C:C, C279)))</f>
        <v/>
      </c>
      <c r="E279" s="3" t="str">
        <f>IF(C279="","",IF(C279=C278, "", SUMIFS('2024'!U:U,C:C, C279)))</f>
        <v/>
      </c>
    </row>
    <row r="280" spans="1:5">
      <c r="A280">
        <v>301</v>
      </c>
      <c r="C280" s="16" t="str">
        <f>IFERROR(IF(ISBLANK('2024'!A280), C279,INDEX('2024'!$A$2:$A$369, MATCH(A280, '2024'!$B$2:$B$369, 0)) - WEEKDAY(INDEX('2024'!$A$2:$A$369, MATCH(A280, '2024'!$B$2:$B$369, 0)), 2) + 1), "")</f>
        <v/>
      </c>
      <c r="D280" s="15" t="str">
        <f>IF(C280="","",IF(C280=C279, "", SUMIFS('2024'!D:D,C:C, C280)))</f>
        <v/>
      </c>
      <c r="E280" s="3" t="str">
        <f>IF(C280="","",IF(C280=C279, "", SUMIFS('2024'!U:U,C:C, C280)))</f>
        <v/>
      </c>
    </row>
    <row r="281" spans="1:5">
      <c r="A281">
        <v>302</v>
      </c>
      <c r="C281" s="16" t="str">
        <f>IFERROR(IF(ISBLANK('2024'!A281), C280,INDEX('2024'!$A$2:$A$369, MATCH(A281, '2024'!$B$2:$B$369, 0)) - WEEKDAY(INDEX('2024'!$A$2:$A$369, MATCH(A281, '2024'!$B$2:$B$369, 0)), 2) + 1), "")</f>
        <v/>
      </c>
      <c r="D281" s="15" t="str">
        <f>IF(C281="","",IF(C281=C280, "", SUMIFS('2024'!D:D,C:C, C281)))</f>
        <v/>
      </c>
      <c r="E281" s="3" t="str">
        <f>IF(C281="","",IF(C281=C280, "", SUMIFS('2024'!U:U,C:C, C281)))</f>
        <v/>
      </c>
    </row>
    <row r="282" spans="1:5">
      <c r="A282">
        <v>303</v>
      </c>
      <c r="C282" s="16" t="str">
        <f>IFERROR(IF(ISBLANK('2024'!A282), C281,INDEX('2024'!$A$2:$A$369, MATCH(A282, '2024'!$B$2:$B$369, 0)) - WEEKDAY(INDEX('2024'!$A$2:$A$369, MATCH(A282, '2024'!$B$2:$B$369, 0)), 2) + 1), "")</f>
        <v/>
      </c>
      <c r="D282" s="15" t="str">
        <f>IF(C282="","",IF(C282=C281, "", SUMIFS('2024'!D:D,C:C, C282)))</f>
        <v/>
      </c>
      <c r="E282" s="3" t="str">
        <f>IF(C282="","",IF(C282=C281, "", SUMIFS('2024'!U:U,C:C, C282)))</f>
        <v/>
      </c>
    </row>
    <row r="283" spans="1:5">
      <c r="A283">
        <v>304</v>
      </c>
      <c r="C283" s="16" t="str">
        <f>IFERROR(IF(ISBLANK('2024'!A283), C282,INDEX('2024'!$A$2:$A$369, MATCH(A283, '2024'!$B$2:$B$369, 0)) - WEEKDAY(INDEX('2024'!$A$2:$A$369, MATCH(A283, '2024'!$B$2:$B$369, 0)), 2) + 1), "")</f>
        <v/>
      </c>
      <c r="D283" s="15" t="str">
        <f>IF(C283="","",IF(C283=C282, "", SUMIFS('2024'!D:D,C:C, C283)))</f>
        <v/>
      </c>
      <c r="E283" s="3" t="str">
        <f>IF(C283="","",IF(C283=C282, "", SUMIFS('2024'!U:U,C:C, C283)))</f>
        <v/>
      </c>
    </row>
    <row r="284" spans="1:5">
      <c r="A284">
        <v>305</v>
      </c>
      <c r="C284" s="16" t="str">
        <f>IFERROR(IF(ISBLANK('2024'!A284), C283,INDEX('2024'!$A$2:$A$369, MATCH(A284, '2024'!$B$2:$B$369, 0)) - WEEKDAY(INDEX('2024'!$A$2:$A$369, MATCH(A284, '2024'!$B$2:$B$369, 0)), 2) + 1), "")</f>
        <v/>
      </c>
      <c r="D284" s="15" t="str">
        <f>IF(C284="","",IF(C284=C283, "", SUMIFS('2024'!D:D,C:C, C284)))</f>
        <v/>
      </c>
      <c r="E284" s="3" t="str">
        <f>IF(C284="","",IF(C284=C283, "", SUMIFS('2024'!U:U,C:C, C284)))</f>
        <v/>
      </c>
    </row>
    <row r="285" spans="1:5">
      <c r="A285">
        <v>306</v>
      </c>
      <c r="C285" s="16" t="str">
        <f>IFERROR(IF(ISBLANK('2024'!A285), C284,INDEX('2024'!$A$2:$A$369, MATCH(A285, '2024'!$B$2:$B$369, 0)) - WEEKDAY(INDEX('2024'!$A$2:$A$369, MATCH(A285, '2024'!$B$2:$B$369, 0)), 2) + 1), "")</f>
        <v/>
      </c>
      <c r="D285" s="15" t="str">
        <f>IF(C285="","",IF(C285=C284, "", SUMIFS('2024'!D:D,C:C, C285)))</f>
        <v/>
      </c>
      <c r="E285" s="3" t="str">
        <f>IF(C285="","",IF(C285=C284, "", SUMIFS('2024'!U:U,C:C, C285)))</f>
        <v/>
      </c>
    </row>
    <row r="286" spans="1:5">
      <c r="A286">
        <v>307</v>
      </c>
      <c r="C286" s="16" t="str">
        <f>IFERROR(IF(ISBLANK('2024'!A286), C285,INDEX('2024'!$A$2:$A$369, MATCH(A286, '2024'!$B$2:$B$369, 0)) - WEEKDAY(INDEX('2024'!$A$2:$A$369, MATCH(A286, '2024'!$B$2:$B$369, 0)), 2) + 1), "")</f>
        <v/>
      </c>
      <c r="D286" s="15" t="str">
        <f>IF(C286="","",IF(C286=C285, "", SUMIFS('2024'!D:D,C:C, C286)))</f>
        <v/>
      </c>
      <c r="E286" s="3" t="str">
        <f>IF(C286="","",IF(C286=C285, "", SUMIFS('2024'!U:U,C:C, C286)))</f>
        <v/>
      </c>
    </row>
    <row r="287" spans="1:5">
      <c r="A287">
        <v>308</v>
      </c>
      <c r="C287" s="16" t="str">
        <f>IFERROR(IF(ISBLANK('2024'!A287), C286,INDEX('2024'!$A$2:$A$369, MATCH(A287, '2024'!$B$2:$B$369, 0)) - WEEKDAY(INDEX('2024'!$A$2:$A$369, MATCH(A287, '2024'!$B$2:$B$369, 0)), 2) + 1), "")</f>
        <v/>
      </c>
      <c r="D287" s="15" t="str">
        <f>IF(C287="","",IF(C287=C286, "", SUMIFS('2024'!D:D,C:C, C287)))</f>
        <v/>
      </c>
      <c r="E287" s="3" t="str">
        <f>IF(C287="","",IF(C287=C286, "", SUMIFS('2024'!U:U,C:C, C287)))</f>
        <v/>
      </c>
    </row>
    <row r="288" spans="1:5">
      <c r="A288">
        <v>309</v>
      </c>
      <c r="C288" s="16" t="str">
        <f>IFERROR(IF(ISBLANK('2024'!A288), C287,INDEX('2024'!$A$2:$A$369, MATCH(A288, '2024'!$B$2:$B$369, 0)) - WEEKDAY(INDEX('2024'!$A$2:$A$369, MATCH(A288, '2024'!$B$2:$B$369, 0)), 2) + 1), "")</f>
        <v/>
      </c>
      <c r="D288" s="15" t="str">
        <f>IF(C288="","",IF(C288=C287, "", SUMIFS('2024'!D:D,C:C, C288)))</f>
        <v/>
      </c>
      <c r="E288" s="3" t="str">
        <f>IF(C288="","",IF(C288=C287, "", SUMIFS('2024'!U:U,C:C, C288)))</f>
        <v/>
      </c>
    </row>
    <row r="289" spans="1:5">
      <c r="A289">
        <v>310</v>
      </c>
      <c r="C289" s="16" t="str">
        <f>IFERROR(IF(ISBLANK('2024'!A289), C288,INDEX('2024'!$A$2:$A$369, MATCH(A289, '2024'!$B$2:$B$369, 0)) - WEEKDAY(INDEX('2024'!$A$2:$A$369, MATCH(A289, '2024'!$B$2:$B$369, 0)), 2) + 1), "")</f>
        <v/>
      </c>
      <c r="D289" s="15" t="str">
        <f>IF(C289="","",IF(C289=C288, "", SUMIFS('2024'!D:D,C:C, C289)))</f>
        <v/>
      </c>
      <c r="E289" s="3" t="str">
        <f>IF(C289="","",IF(C289=C288, "", SUMIFS('2024'!U:U,C:C, C289)))</f>
        <v/>
      </c>
    </row>
    <row r="290" spans="1:5">
      <c r="A290">
        <v>311</v>
      </c>
      <c r="C290" s="16" t="str">
        <f>IFERROR(IF(ISBLANK('2024'!A290), C289,INDEX('2024'!$A$2:$A$369, MATCH(A290, '2024'!$B$2:$B$369, 0)) - WEEKDAY(INDEX('2024'!$A$2:$A$369, MATCH(A290, '2024'!$B$2:$B$369, 0)), 2) + 1), "")</f>
        <v/>
      </c>
      <c r="D290" s="15" t="str">
        <f>IF(C290="","",IF(C290=C289, "", SUMIFS('2024'!D:D,C:C, C290)))</f>
        <v/>
      </c>
      <c r="E290" s="3" t="str">
        <f>IF(C290="","",IF(C290=C289, "", SUMIFS('2024'!U:U,C:C, C290)))</f>
        <v/>
      </c>
    </row>
    <row r="291" spans="1:5">
      <c r="A291">
        <v>312</v>
      </c>
      <c r="C291" s="16" t="str">
        <f>IFERROR(IF(ISBLANK('2024'!A291), C290,INDEX('2024'!$A$2:$A$369, MATCH(A291, '2024'!$B$2:$B$369, 0)) - WEEKDAY(INDEX('2024'!$A$2:$A$369, MATCH(A291, '2024'!$B$2:$B$369, 0)), 2) + 1), "")</f>
        <v/>
      </c>
      <c r="D291" s="15" t="str">
        <f>IF(C291="","",IF(C291=C290, "", SUMIFS('2024'!D:D,C:C, C291)))</f>
        <v/>
      </c>
      <c r="E291" s="3" t="str">
        <f>IF(C291="","",IF(C291=C290, "", SUMIFS('2024'!U:U,C:C, C291)))</f>
        <v/>
      </c>
    </row>
    <row r="292" spans="1:5">
      <c r="A292">
        <v>313</v>
      </c>
      <c r="C292" s="16" t="str">
        <f>IFERROR(IF(ISBLANK('2024'!A292), C291,INDEX('2024'!$A$2:$A$369, MATCH(A292, '2024'!$B$2:$B$369, 0)) - WEEKDAY(INDEX('2024'!$A$2:$A$369, MATCH(A292, '2024'!$B$2:$B$369, 0)), 2) + 1), "")</f>
        <v/>
      </c>
      <c r="D292" s="15" t="str">
        <f>IF(C292="","",IF(C292=C291, "", SUMIFS('2024'!D:D,C:C, C292)))</f>
        <v/>
      </c>
      <c r="E292" s="3" t="str">
        <f>IF(C292="","",IF(C292=C291, "", SUMIFS('2024'!U:U,C:C, C292)))</f>
        <v/>
      </c>
    </row>
    <row r="293" spans="1:5">
      <c r="A293">
        <v>314</v>
      </c>
      <c r="C293" s="16" t="str">
        <f>IFERROR(IF(ISBLANK('2024'!A293), C292,INDEX('2024'!$A$2:$A$369, MATCH(A293, '2024'!$B$2:$B$369, 0)) - WEEKDAY(INDEX('2024'!$A$2:$A$369, MATCH(A293, '2024'!$B$2:$B$369, 0)), 2) + 1), "")</f>
        <v/>
      </c>
      <c r="D293" s="15" t="str">
        <f>IF(C293="","",IF(C293=C292, "", SUMIFS('2024'!D:D,C:C, C293)))</f>
        <v/>
      </c>
      <c r="E293" s="3" t="str">
        <f>IF(C293="","",IF(C293=C292, "", SUMIFS('2024'!U:U,C:C, C293)))</f>
        <v/>
      </c>
    </row>
    <row r="294" spans="1:5">
      <c r="A294">
        <v>315</v>
      </c>
      <c r="C294" s="16" t="str">
        <f>IFERROR(IF(ISBLANK('2024'!A294), C293,INDEX('2024'!$A$2:$A$369, MATCH(A294, '2024'!$B$2:$B$369, 0)) - WEEKDAY(INDEX('2024'!$A$2:$A$369, MATCH(A294, '2024'!$B$2:$B$369, 0)), 2) + 1), "")</f>
        <v/>
      </c>
      <c r="D294" s="15" t="str">
        <f>IF(C294="","",IF(C294=C293, "", SUMIFS('2024'!D:D,C:C, C294)))</f>
        <v/>
      </c>
      <c r="E294" s="3" t="str">
        <f>IF(C294="","",IF(C294=C293, "", SUMIFS('2024'!U:U,C:C, C294)))</f>
        <v/>
      </c>
    </row>
    <row r="295" spans="1:5">
      <c r="A295">
        <v>316</v>
      </c>
      <c r="C295" s="16" t="str">
        <f>IFERROR(IF(ISBLANK('2024'!A295), C294,INDEX('2024'!$A$2:$A$369, MATCH(A295, '2024'!$B$2:$B$369, 0)) - WEEKDAY(INDEX('2024'!$A$2:$A$369, MATCH(A295, '2024'!$B$2:$B$369, 0)), 2) + 1), "")</f>
        <v/>
      </c>
      <c r="D295" s="15" t="str">
        <f>IF(C295="","",IF(C295=C294, "", SUMIFS('2024'!D:D,C:C, C295)))</f>
        <v/>
      </c>
      <c r="E295" s="3" t="str">
        <f>IF(C295="","",IF(C295=C294, "", SUMIFS('2024'!U:U,C:C, C295)))</f>
        <v/>
      </c>
    </row>
    <row r="296" spans="1:5">
      <c r="A296">
        <v>317</v>
      </c>
      <c r="C296" s="16" t="str">
        <f>IFERROR(IF(ISBLANK('2024'!A296), C295,INDEX('2024'!$A$2:$A$369, MATCH(A296, '2024'!$B$2:$B$369, 0)) - WEEKDAY(INDEX('2024'!$A$2:$A$369, MATCH(A296, '2024'!$B$2:$B$369, 0)), 2) + 1), "")</f>
        <v/>
      </c>
      <c r="D296" s="15" t="str">
        <f>IF(C296="","",IF(C296=C295, "", SUMIFS('2024'!D:D,C:C, C296)))</f>
        <v/>
      </c>
      <c r="E296" s="3" t="str">
        <f>IF(C296="","",IF(C296=C295, "", SUMIFS('2024'!U:U,C:C, C296)))</f>
        <v/>
      </c>
    </row>
    <row r="297" spans="1:5">
      <c r="A297">
        <v>318</v>
      </c>
      <c r="C297" s="16" t="str">
        <f>IFERROR(IF(ISBLANK('2024'!A297), C296,INDEX('2024'!$A$2:$A$369, MATCH(A297, '2024'!$B$2:$B$369, 0)) - WEEKDAY(INDEX('2024'!$A$2:$A$369, MATCH(A297, '2024'!$B$2:$B$369, 0)), 2) + 1), "")</f>
        <v/>
      </c>
      <c r="D297" s="15" t="str">
        <f>IF(C297="","",IF(C297=C296, "", SUMIFS('2024'!D:D,C:C, C297)))</f>
        <v/>
      </c>
      <c r="E297" s="3" t="str">
        <f>IF(C297="","",IF(C297=C296, "", SUMIFS('2024'!U:U,C:C, C297)))</f>
        <v/>
      </c>
    </row>
    <row r="298" spans="1:5">
      <c r="A298">
        <v>319</v>
      </c>
      <c r="C298" s="16" t="str">
        <f>IFERROR(IF(ISBLANK('2024'!A298), C297,INDEX('2024'!$A$2:$A$369, MATCH(A298, '2024'!$B$2:$B$369, 0)) - WEEKDAY(INDEX('2024'!$A$2:$A$369, MATCH(A298, '2024'!$B$2:$B$369, 0)), 2) + 1), "")</f>
        <v/>
      </c>
      <c r="D298" s="15" t="str">
        <f>IF(C298="","",IF(C298=C297, "", SUMIFS('2024'!D:D,C:C, C298)))</f>
        <v/>
      </c>
      <c r="E298" s="3" t="str">
        <f>IF(C298="","",IF(C298=C297, "", SUMIFS('2024'!U:U,C:C, C298)))</f>
        <v/>
      </c>
    </row>
    <row r="299" spans="1:5">
      <c r="A299">
        <v>320</v>
      </c>
      <c r="C299" s="16" t="str">
        <f>IFERROR(IF(ISBLANK('2024'!A299), C298,INDEX('2024'!$A$2:$A$369, MATCH(A299, '2024'!$B$2:$B$369, 0)) - WEEKDAY(INDEX('2024'!$A$2:$A$369, MATCH(A299, '2024'!$B$2:$B$369, 0)), 2) + 1), "")</f>
        <v/>
      </c>
      <c r="D299" s="15" t="str">
        <f>IF(C299="","",IF(C299=C298, "", SUMIFS('2024'!D:D,C:C, C299)))</f>
        <v/>
      </c>
      <c r="E299" s="3" t="str">
        <f>IF(C299="","",IF(C299=C298, "", SUMIFS('2024'!U:U,C:C, C299)))</f>
        <v/>
      </c>
    </row>
    <row r="300" spans="1:5">
      <c r="A300">
        <v>321</v>
      </c>
      <c r="C300" s="16" t="str">
        <f>IFERROR(IF(ISBLANK('2024'!A300), C299,INDEX('2024'!$A$2:$A$369, MATCH(A300, '2024'!$B$2:$B$369, 0)) - WEEKDAY(INDEX('2024'!$A$2:$A$369, MATCH(A300, '2024'!$B$2:$B$369, 0)), 2) + 1), "")</f>
        <v/>
      </c>
      <c r="D300" s="15" t="str">
        <f>IF(C300="","",IF(C300=C299, "", SUMIFS('2024'!D:D,C:C, C300)))</f>
        <v/>
      </c>
      <c r="E300" s="3" t="str">
        <f>IF(C300="","",IF(C300=C299, "", SUMIFS('2024'!U:U,C:C, C300)))</f>
        <v/>
      </c>
    </row>
    <row r="301" spans="1:5">
      <c r="A301">
        <v>322</v>
      </c>
      <c r="C301" s="16" t="str">
        <f>IFERROR(IF(ISBLANK('2024'!A301), C300,INDEX('2024'!$A$2:$A$369, MATCH(A301, '2024'!$B$2:$B$369, 0)) - WEEKDAY(INDEX('2024'!$A$2:$A$369, MATCH(A301, '2024'!$B$2:$B$369, 0)), 2) + 1), "")</f>
        <v/>
      </c>
      <c r="D301" s="15" t="str">
        <f>IF(C301="","",IF(C301=C300, "", SUMIFS('2024'!D:D,C:C, C301)))</f>
        <v/>
      </c>
      <c r="E301" s="3" t="str">
        <f>IF(C301="","",IF(C301=C300, "", SUMIFS('2024'!U:U,C:C, C301)))</f>
        <v/>
      </c>
    </row>
    <row r="302" spans="1:5">
      <c r="A302">
        <v>323</v>
      </c>
      <c r="C302" s="16" t="str">
        <f>IFERROR(IF(ISBLANK('2024'!A302), C301,INDEX('2024'!$A$2:$A$369, MATCH(A302, '2024'!$B$2:$B$369, 0)) - WEEKDAY(INDEX('2024'!$A$2:$A$369, MATCH(A302, '2024'!$B$2:$B$369, 0)), 2) + 1), "")</f>
        <v/>
      </c>
      <c r="D302" s="15" t="str">
        <f>IF(C302="","",IF(C302=C301, "", SUMIFS('2024'!D:D,C:C, C302)))</f>
        <v/>
      </c>
      <c r="E302" s="3" t="str">
        <f>IF(C302="","",IF(C302=C301, "", SUMIFS('2024'!U:U,C:C, C302)))</f>
        <v/>
      </c>
    </row>
    <row r="303" spans="1:5">
      <c r="A303">
        <v>324</v>
      </c>
      <c r="C303" s="16" t="str">
        <f>IFERROR(IF(ISBLANK('2024'!A303), C302,INDEX('2024'!$A$2:$A$369, MATCH(A303, '2024'!$B$2:$B$369, 0)) - WEEKDAY(INDEX('2024'!$A$2:$A$369, MATCH(A303, '2024'!$B$2:$B$369, 0)), 2) + 1), "")</f>
        <v/>
      </c>
      <c r="D303" s="15" t="str">
        <f>IF(C303="","",IF(C303=C302, "", SUMIFS('2024'!D:D,C:C, C303)))</f>
        <v/>
      </c>
      <c r="E303" s="3" t="str">
        <f>IF(C303="","",IF(C303=C302, "", SUMIFS('2024'!U:U,C:C, C303)))</f>
        <v/>
      </c>
    </row>
    <row r="304" spans="1:5">
      <c r="A304">
        <v>325</v>
      </c>
      <c r="C304" s="16" t="str">
        <f>IFERROR(IF(ISBLANK('2024'!A304), C303,INDEX('2024'!$A$2:$A$369, MATCH(A304, '2024'!$B$2:$B$369, 0)) - WEEKDAY(INDEX('2024'!$A$2:$A$369, MATCH(A304, '2024'!$B$2:$B$369, 0)), 2) + 1), "")</f>
        <v/>
      </c>
      <c r="D304" s="15" t="str">
        <f>IF(C304="","",IF(C304=C303, "", SUMIFS('2024'!D:D,C:C, C304)))</f>
        <v/>
      </c>
      <c r="E304" s="3" t="str">
        <f>IF(C304="","",IF(C304=C303, "", SUMIFS('2024'!U:U,C:C, C304)))</f>
        <v/>
      </c>
    </row>
    <row r="305" spans="1:5">
      <c r="A305">
        <v>326</v>
      </c>
      <c r="C305" s="16" t="str">
        <f>IFERROR(IF(ISBLANK('2024'!A305), C304,INDEX('2024'!$A$2:$A$369, MATCH(A305, '2024'!$B$2:$B$369, 0)) - WEEKDAY(INDEX('2024'!$A$2:$A$369, MATCH(A305, '2024'!$B$2:$B$369, 0)), 2) + 1), "")</f>
        <v/>
      </c>
      <c r="D305" s="15" t="str">
        <f>IF(C305="","",IF(C305=C304, "", SUMIFS('2024'!D:D,C:C, C305)))</f>
        <v/>
      </c>
      <c r="E305" s="3" t="str">
        <f>IF(C305="","",IF(C305=C304, "", SUMIFS('2024'!U:U,C:C, C305)))</f>
        <v/>
      </c>
    </row>
    <row r="306" spans="1:5">
      <c r="A306">
        <v>327</v>
      </c>
      <c r="C306" s="16" t="str">
        <f>IFERROR(IF(ISBLANK('2024'!A306), C305,INDEX('2024'!$A$2:$A$369, MATCH(A306, '2024'!$B$2:$B$369, 0)) - WEEKDAY(INDEX('2024'!$A$2:$A$369, MATCH(A306, '2024'!$B$2:$B$369, 0)), 2) + 1), "")</f>
        <v/>
      </c>
      <c r="D306" s="15" t="str">
        <f>IF(C306="","",IF(C306=C305, "", SUMIFS('2024'!D:D,C:C, C306)))</f>
        <v/>
      </c>
      <c r="E306" s="3" t="str">
        <f>IF(C306="","",IF(C306=C305, "", SUMIFS('2024'!U:U,C:C, C306)))</f>
        <v/>
      </c>
    </row>
    <row r="307" spans="1:5">
      <c r="A307">
        <v>328</v>
      </c>
      <c r="C307" s="16" t="str">
        <f>IFERROR(IF(ISBLANK('2024'!A307), C306,INDEX('2024'!$A$2:$A$369, MATCH(A307, '2024'!$B$2:$B$369, 0)) - WEEKDAY(INDEX('2024'!$A$2:$A$369, MATCH(A307, '2024'!$B$2:$B$369, 0)), 2) + 1), "")</f>
        <v/>
      </c>
      <c r="D307" s="15" t="str">
        <f>IF(C307="","",IF(C307=C306, "", SUMIFS('2024'!D:D,C:C, C307)))</f>
        <v/>
      </c>
      <c r="E307" s="3" t="str">
        <f>IF(C307="","",IF(C307=C306, "", SUMIFS('2024'!U:U,C:C, C307)))</f>
        <v/>
      </c>
    </row>
    <row r="308" spans="1:5">
      <c r="A308">
        <v>329</v>
      </c>
      <c r="C308" s="16" t="str">
        <f>IFERROR(IF(ISBLANK('2024'!A308), C307,INDEX('2024'!$A$2:$A$369, MATCH(A308, '2024'!$B$2:$B$369, 0)) - WEEKDAY(INDEX('2024'!$A$2:$A$369, MATCH(A308, '2024'!$B$2:$B$369, 0)), 2) + 1), "")</f>
        <v/>
      </c>
      <c r="D308" s="15" t="str">
        <f>IF(C308="","",IF(C308=C307, "", SUMIFS('2024'!D:D,C:C, C308)))</f>
        <v/>
      </c>
      <c r="E308" s="3" t="str">
        <f>IF(C308="","",IF(C308=C307, "", SUMIFS('2024'!U:U,C:C, C308)))</f>
        <v/>
      </c>
    </row>
    <row r="309" spans="1:5">
      <c r="A309">
        <v>330</v>
      </c>
      <c r="C309" s="16" t="str">
        <f>IFERROR(IF(ISBLANK('2024'!A309), C308,INDEX('2024'!$A$2:$A$369, MATCH(A309, '2024'!$B$2:$B$369, 0)) - WEEKDAY(INDEX('2024'!$A$2:$A$369, MATCH(A309, '2024'!$B$2:$B$369, 0)), 2) + 1), "")</f>
        <v/>
      </c>
      <c r="D309" s="15" t="str">
        <f>IF(C309="","",IF(C309=C308, "", SUMIFS('2024'!D:D,C:C, C309)))</f>
        <v/>
      </c>
      <c r="E309" s="3" t="str">
        <f>IF(C309="","",IF(C309=C308, "", SUMIFS('2024'!U:U,C:C, C309)))</f>
        <v/>
      </c>
    </row>
    <row r="310" spans="1:5">
      <c r="A310">
        <v>331</v>
      </c>
      <c r="C310" s="16" t="str">
        <f>IFERROR(IF(ISBLANK('2024'!A310), C309,INDEX('2024'!$A$2:$A$369, MATCH(A310, '2024'!$B$2:$B$369, 0)) - WEEKDAY(INDEX('2024'!$A$2:$A$369, MATCH(A310, '2024'!$B$2:$B$369, 0)), 2) + 1), "")</f>
        <v/>
      </c>
      <c r="D310" s="15" t="str">
        <f>IF(C310="","",IF(C310=C309, "", SUMIFS('2024'!D:D,C:C, C310)))</f>
        <v/>
      </c>
      <c r="E310" s="3" t="str">
        <f>IF(C310="","",IF(C310=C309, "", SUMIFS('2024'!U:U,C:C, C310)))</f>
        <v/>
      </c>
    </row>
    <row r="311" spans="1:5">
      <c r="A311">
        <v>332</v>
      </c>
      <c r="C311" s="16" t="str">
        <f>IFERROR(IF(ISBLANK('2024'!A311), C310,INDEX('2024'!$A$2:$A$369, MATCH(A311, '2024'!$B$2:$B$369, 0)) - WEEKDAY(INDEX('2024'!$A$2:$A$369, MATCH(A311, '2024'!$B$2:$B$369, 0)), 2) + 1), "")</f>
        <v/>
      </c>
      <c r="D311" s="15" t="str">
        <f>IF(C311="","",IF(C311=C310, "", SUMIFS('2024'!D:D,C:C, C311)))</f>
        <v/>
      </c>
      <c r="E311" s="3" t="str">
        <f>IF(C311="","",IF(C311=C310, "", SUMIFS('2024'!U:U,C:C, C311)))</f>
        <v/>
      </c>
    </row>
    <row r="312" spans="1:5">
      <c r="A312">
        <v>333</v>
      </c>
      <c r="C312" s="16" t="str">
        <f>IFERROR(IF(ISBLANK('2024'!A312), C311,INDEX('2024'!$A$2:$A$369, MATCH(A312, '2024'!$B$2:$B$369, 0)) - WEEKDAY(INDEX('2024'!$A$2:$A$369, MATCH(A312, '2024'!$B$2:$B$369, 0)), 2) + 1), "")</f>
        <v/>
      </c>
      <c r="D312" s="15" t="str">
        <f>IF(C312="","",IF(C312=C311, "", SUMIFS('2024'!D:D,C:C, C312)))</f>
        <v/>
      </c>
      <c r="E312" s="3" t="str">
        <f>IF(C312="","",IF(C312=C311, "", SUMIFS('2024'!U:U,C:C, C312)))</f>
        <v/>
      </c>
    </row>
    <row r="313" spans="1:5">
      <c r="A313">
        <v>334</v>
      </c>
      <c r="C313" s="16" t="str">
        <f>IFERROR(IF(ISBLANK('2024'!A313), C312,INDEX('2024'!$A$2:$A$369, MATCH(A313, '2024'!$B$2:$B$369, 0)) - WEEKDAY(INDEX('2024'!$A$2:$A$369, MATCH(A313, '2024'!$B$2:$B$369, 0)), 2) + 1), "")</f>
        <v/>
      </c>
      <c r="D313" s="15" t="str">
        <f>IF(C313="","",IF(C313=C312, "", SUMIFS('2024'!D:D,C:C, C313)))</f>
        <v/>
      </c>
      <c r="E313" s="3" t="str">
        <f>IF(C313="","",IF(C313=C312, "", SUMIFS('2024'!U:U,C:C, C313)))</f>
        <v/>
      </c>
    </row>
    <row r="314" spans="1:5">
      <c r="A314">
        <v>335</v>
      </c>
      <c r="C314" s="16" t="str">
        <f>IFERROR(IF(ISBLANK('2024'!A314), C313,INDEX('2024'!$A$2:$A$369, MATCH(A314, '2024'!$B$2:$B$369, 0)) - WEEKDAY(INDEX('2024'!$A$2:$A$369, MATCH(A314, '2024'!$B$2:$B$369, 0)), 2) + 1), "")</f>
        <v/>
      </c>
      <c r="D314" s="15" t="str">
        <f>IF(C314="","",IF(C314=C313, "", SUMIFS('2024'!D:D,C:C, C314)))</f>
        <v/>
      </c>
      <c r="E314" s="3" t="str">
        <f>IF(C314="","",IF(C314=C313, "", SUMIFS('2024'!U:U,C:C, C314)))</f>
        <v/>
      </c>
    </row>
    <row r="315" spans="1:5">
      <c r="A315">
        <v>336</v>
      </c>
      <c r="C315" s="16" t="str">
        <f>IFERROR(IF(ISBLANK('2024'!A315), C314,INDEX('2024'!$A$2:$A$369, MATCH(A315, '2024'!$B$2:$B$369, 0)) - WEEKDAY(INDEX('2024'!$A$2:$A$369, MATCH(A315, '2024'!$B$2:$B$369, 0)), 2) + 1), "")</f>
        <v/>
      </c>
      <c r="D315" s="15" t="str">
        <f>IF(C315="","",IF(C315=C314, "", SUMIFS('2024'!D:D,C:C, C315)))</f>
        <v/>
      </c>
      <c r="E315" s="3" t="str">
        <f>IF(C315="","",IF(C315=C314, "", SUMIFS('2024'!U:U,C:C, C315)))</f>
        <v/>
      </c>
    </row>
    <row r="316" spans="1:5">
      <c r="A316">
        <v>337</v>
      </c>
      <c r="C316" s="16" t="str">
        <f>IFERROR(IF(ISBLANK('2024'!A316), C315,INDEX('2024'!$A$2:$A$369, MATCH(A316, '2024'!$B$2:$B$369, 0)) - WEEKDAY(INDEX('2024'!$A$2:$A$369, MATCH(A316, '2024'!$B$2:$B$369, 0)), 2) + 1), "")</f>
        <v/>
      </c>
      <c r="D316" s="15" t="str">
        <f>IF(C316="","",IF(C316=C315, "", SUMIFS('2024'!D:D,C:C, C316)))</f>
        <v/>
      </c>
      <c r="E316" s="3" t="str">
        <f>IF(C316="","",IF(C316=C315, "", SUMIFS('2024'!U:U,C:C, C316)))</f>
        <v/>
      </c>
    </row>
    <row r="317" spans="1:5">
      <c r="A317">
        <v>338</v>
      </c>
      <c r="C317" s="16" t="str">
        <f>IFERROR(IF(ISBLANK('2024'!A317), C316,INDEX('2024'!$A$2:$A$369, MATCH(A317, '2024'!$B$2:$B$369, 0)) - WEEKDAY(INDEX('2024'!$A$2:$A$369, MATCH(A317, '2024'!$B$2:$B$369, 0)), 2) + 1), "")</f>
        <v/>
      </c>
      <c r="D317" s="15" t="str">
        <f>IF(C317="","",IF(C317=C316, "", SUMIFS('2024'!D:D,C:C, C317)))</f>
        <v/>
      </c>
      <c r="E317" s="3" t="str">
        <f>IF(C317="","",IF(C317=C316, "", SUMIFS('2024'!U:U,C:C, C317)))</f>
        <v/>
      </c>
    </row>
    <row r="318" spans="1:5">
      <c r="A318">
        <v>339</v>
      </c>
      <c r="C318" s="16" t="str">
        <f>IFERROR(IF(ISBLANK('2024'!A318), C317,INDEX('2024'!$A$2:$A$369, MATCH(A318, '2024'!$B$2:$B$369, 0)) - WEEKDAY(INDEX('2024'!$A$2:$A$369, MATCH(A318, '2024'!$B$2:$B$369, 0)), 2) + 1), "")</f>
        <v/>
      </c>
      <c r="D318" s="15" t="str">
        <f>IF(C318="","",IF(C318=C317, "", SUMIFS('2024'!D:D,C:C, C318)))</f>
        <v/>
      </c>
      <c r="E318" s="3" t="str">
        <f>IF(C318="","",IF(C318=C317, "", SUMIFS('2024'!U:U,C:C, C318)))</f>
        <v/>
      </c>
    </row>
    <row r="319" spans="1:5">
      <c r="A319">
        <v>340</v>
      </c>
      <c r="C319" s="16" t="str">
        <f>IFERROR(IF(ISBLANK('2024'!A319), C318,INDEX('2024'!$A$2:$A$369, MATCH(A319, '2024'!$B$2:$B$369, 0)) - WEEKDAY(INDEX('2024'!$A$2:$A$369, MATCH(A319, '2024'!$B$2:$B$369, 0)), 2) + 1), "")</f>
        <v/>
      </c>
      <c r="D319" s="15" t="str">
        <f>IF(C319="","",IF(C319=C318, "", SUMIFS('2024'!D:D,C:C, C319)))</f>
        <v/>
      </c>
      <c r="E319" s="3" t="str">
        <f>IF(C319="","",IF(C319=C318, "", SUMIFS('2024'!U:U,C:C, C319)))</f>
        <v/>
      </c>
    </row>
    <row r="320" spans="1:5">
      <c r="A320">
        <v>341</v>
      </c>
      <c r="C320" s="16" t="str">
        <f>IFERROR(IF(ISBLANK('2024'!A320), C319,INDEX('2024'!$A$2:$A$369, MATCH(A320, '2024'!$B$2:$B$369, 0)) - WEEKDAY(INDEX('2024'!$A$2:$A$369, MATCH(A320, '2024'!$B$2:$B$369, 0)), 2) + 1), "")</f>
        <v/>
      </c>
      <c r="D320" s="15" t="str">
        <f>IF(C320="","",IF(C320=C319, "", SUMIFS('2024'!D:D,C:C, C320)))</f>
        <v/>
      </c>
      <c r="E320" s="3" t="str">
        <f>IF(C320="","",IF(C320=C319, "", SUMIFS('2024'!U:U,C:C, C320)))</f>
        <v/>
      </c>
    </row>
    <row r="321" spans="1:5">
      <c r="A321">
        <v>342</v>
      </c>
      <c r="C321" s="16" t="str">
        <f>IFERROR(IF(ISBLANK('2024'!A321), C320,INDEX('2024'!$A$2:$A$369, MATCH(A321, '2024'!$B$2:$B$369, 0)) - WEEKDAY(INDEX('2024'!$A$2:$A$369, MATCH(A321, '2024'!$B$2:$B$369, 0)), 2) + 1), "")</f>
        <v/>
      </c>
      <c r="D321" s="15" t="str">
        <f>IF(C321="","",IF(C321=C320, "", SUMIFS('2024'!D:D,C:C, C321)))</f>
        <v/>
      </c>
      <c r="E321" s="3" t="str">
        <f>IF(C321="","",IF(C321=C320, "", SUMIFS('2024'!U:U,C:C, C321)))</f>
        <v/>
      </c>
    </row>
    <row r="322" spans="1:5">
      <c r="A322">
        <v>343</v>
      </c>
      <c r="C322" s="16" t="str">
        <f>IFERROR(IF(ISBLANK('2024'!A322), C321,INDEX('2024'!$A$2:$A$369, MATCH(A322, '2024'!$B$2:$B$369, 0)) - WEEKDAY(INDEX('2024'!$A$2:$A$369, MATCH(A322, '2024'!$B$2:$B$369, 0)), 2) + 1), "")</f>
        <v/>
      </c>
      <c r="D322" s="15" t="str">
        <f>IF(C322="","",IF(C322=C321, "", SUMIFS('2024'!D:D,C:C, C322)))</f>
        <v/>
      </c>
      <c r="E322" s="3" t="str">
        <f>IF(C322="","",IF(C322=C321, "", SUMIFS('2024'!U:U,C:C, C322)))</f>
        <v/>
      </c>
    </row>
    <row r="323" spans="1:5">
      <c r="A323">
        <v>344</v>
      </c>
      <c r="C323" s="16" t="str">
        <f>IFERROR(IF(ISBLANK('2024'!A323), C322,INDEX('2024'!$A$2:$A$369, MATCH(A323, '2024'!$B$2:$B$369, 0)) - WEEKDAY(INDEX('2024'!$A$2:$A$369, MATCH(A323, '2024'!$B$2:$B$369, 0)), 2) + 1), "")</f>
        <v/>
      </c>
      <c r="D323" s="15" t="str">
        <f>IF(C323="","",IF(C323=C322, "", SUMIFS('2024'!D:D,C:C, C323)))</f>
        <v/>
      </c>
      <c r="E323" s="3" t="str">
        <f>IF(C323="","",IF(C323=C322, "", SUMIFS('2024'!U:U,C:C, C323)))</f>
        <v/>
      </c>
    </row>
    <row r="324" spans="1:5">
      <c r="A324">
        <v>345</v>
      </c>
      <c r="C324" s="16" t="str">
        <f>IFERROR(IF(ISBLANK('2024'!A324), C323,INDEX('2024'!$A$2:$A$369, MATCH(A324, '2024'!$B$2:$B$369, 0)) - WEEKDAY(INDEX('2024'!$A$2:$A$369, MATCH(A324, '2024'!$B$2:$B$369, 0)), 2) + 1), "")</f>
        <v/>
      </c>
      <c r="D324" s="15" t="str">
        <f>IF(C324="","",IF(C324=C323, "", SUMIFS('2024'!D:D,C:C, C324)))</f>
        <v/>
      </c>
      <c r="E324" s="3" t="str">
        <f>IF(C324="","",IF(C324=C323, "", SUMIFS('2024'!U:U,C:C, C324)))</f>
        <v/>
      </c>
    </row>
    <row r="325" spans="1:5">
      <c r="A325">
        <v>346</v>
      </c>
      <c r="C325" s="16" t="str">
        <f>IFERROR(IF(ISBLANK('2024'!A325), C324,INDEX('2024'!$A$2:$A$369, MATCH(A325, '2024'!$B$2:$B$369, 0)) - WEEKDAY(INDEX('2024'!$A$2:$A$369, MATCH(A325, '2024'!$B$2:$B$369, 0)), 2) + 1), "")</f>
        <v/>
      </c>
      <c r="D325" s="15" t="str">
        <f>IF(C325="","",IF(C325=C324, "", SUMIFS('2024'!D:D,C:C, C325)))</f>
        <v/>
      </c>
      <c r="E325" s="3" t="str">
        <f>IF(C325="","",IF(C325=C324, "", SUMIFS('2024'!U:U,C:C, C325)))</f>
        <v/>
      </c>
    </row>
    <row r="326" spans="1:5">
      <c r="A326">
        <v>347</v>
      </c>
      <c r="C326" s="16" t="str">
        <f>IFERROR(IF(ISBLANK('2024'!A326), C325,INDEX('2024'!$A$2:$A$369, MATCH(A326, '2024'!$B$2:$B$369, 0)) - WEEKDAY(INDEX('2024'!$A$2:$A$369, MATCH(A326, '2024'!$B$2:$B$369, 0)), 2) + 1), "")</f>
        <v/>
      </c>
      <c r="D326" s="15" t="str">
        <f>IF(C326="","",IF(C326=C325, "", SUMIFS('2024'!D:D,C:C, C326)))</f>
        <v/>
      </c>
      <c r="E326" s="3" t="str">
        <f>IF(C326="","",IF(C326=C325, "", SUMIFS('2024'!U:U,C:C, C326)))</f>
        <v/>
      </c>
    </row>
    <row r="327" spans="1:5">
      <c r="A327">
        <v>348</v>
      </c>
      <c r="C327" s="16" t="str">
        <f>IFERROR(IF(ISBLANK('2024'!A327), C326,INDEX('2024'!$A$2:$A$369, MATCH(A327, '2024'!$B$2:$B$369, 0)) - WEEKDAY(INDEX('2024'!$A$2:$A$369, MATCH(A327, '2024'!$B$2:$B$369, 0)), 2) + 1), "")</f>
        <v/>
      </c>
      <c r="D327" s="15" t="str">
        <f>IF(C327="","",IF(C327=C326, "", SUMIFS('2024'!D:D,C:C, C327)))</f>
        <v/>
      </c>
      <c r="E327" s="3" t="str">
        <f>IF(C327="","",IF(C327=C326, "", SUMIFS('2024'!U:U,C:C, C327)))</f>
        <v/>
      </c>
    </row>
    <row r="328" spans="1:5">
      <c r="A328">
        <v>349</v>
      </c>
      <c r="C328" s="16" t="str">
        <f>IFERROR(IF(ISBLANK('2024'!A328), C327,INDEX('2024'!$A$2:$A$369, MATCH(A328, '2024'!$B$2:$B$369, 0)) - WEEKDAY(INDEX('2024'!$A$2:$A$369, MATCH(A328, '2024'!$B$2:$B$369, 0)), 2) + 1), "")</f>
        <v/>
      </c>
      <c r="D328" s="15" t="str">
        <f>IF(C328="","",IF(C328=C327, "", SUMIFS('2024'!D:D,C:C, C328)))</f>
        <v/>
      </c>
      <c r="E328" s="3" t="str">
        <f>IF(C328="","",IF(C328=C327, "", SUMIFS('2024'!U:U,C:C, C328)))</f>
        <v/>
      </c>
    </row>
    <row r="329" spans="1:5">
      <c r="A329">
        <v>350</v>
      </c>
      <c r="C329" s="16" t="str">
        <f>IFERROR(IF(ISBLANK('2024'!A329), C328,INDEX('2024'!$A$2:$A$369, MATCH(A329, '2024'!$B$2:$B$369, 0)) - WEEKDAY(INDEX('2024'!$A$2:$A$369, MATCH(A329, '2024'!$B$2:$B$369, 0)), 2) + 1), "")</f>
        <v/>
      </c>
      <c r="D329" s="15" t="str">
        <f>IF(C329="","",IF(C329=C328, "", SUMIFS('2024'!D:D,C:C, C329)))</f>
        <v/>
      </c>
      <c r="E329" s="3" t="str">
        <f>IF(C329="","",IF(C329=C328, "", SUMIFS('2024'!U:U,C:C, C329)))</f>
        <v/>
      </c>
    </row>
    <row r="330" spans="1:5">
      <c r="A330">
        <v>351</v>
      </c>
      <c r="C330" s="16" t="str">
        <f>IFERROR(IF(ISBLANK('2024'!A330), C329,INDEX('2024'!$A$2:$A$369, MATCH(A330, '2024'!$B$2:$B$369, 0)) - WEEKDAY(INDEX('2024'!$A$2:$A$369, MATCH(A330, '2024'!$B$2:$B$369, 0)), 2) + 1), "")</f>
        <v/>
      </c>
      <c r="D330" s="15" t="str">
        <f>IF(C330="","",IF(C330=C329, "", SUMIFS('2024'!D:D,C:C, C330)))</f>
        <v/>
      </c>
      <c r="E330" s="3" t="str">
        <f>IF(C330="","",IF(C330=C329, "", SUMIFS('2024'!U:U,C:C, C330)))</f>
        <v/>
      </c>
    </row>
    <row r="331" spans="1:5">
      <c r="A331">
        <v>352</v>
      </c>
      <c r="C331" s="16" t="str">
        <f>IFERROR(IF(ISBLANK('2024'!A331), C330,INDEX('2024'!$A$2:$A$369, MATCH(A331, '2024'!$B$2:$B$369, 0)) - WEEKDAY(INDEX('2024'!$A$2:$A$369, MATCH(A331, '2024'!$B$2:$B$369, 0)), 2) + 1), "")</f>
        <v/>
      </c>
      <c r="D331" s="15" t="str">
        <f>IF(C331="","",IF(C331=C330, "", SUMIFS('2024'!D:D,C:C, C331)))</f>
        <v/>
      </c>
      <c r="E331" s="3" t="str">
        <f>IF(C331="","",IF(C331=C330, "", SUMIFS('2024'!U:U,C:C, C331)))</f>
        <v/>
      </c>
    </row>
    <row r="332" spans="1:5">
      <c r="A332">
        <v>353</v>
      </c>
      <c r="C332" s="16" t="str">
        <f>IFERROR(IF(ISBLANK('2024'!A332), C331,INDEX('2024'!$A$2:$A$369, MATCH(A332, '2024'!$B$2:$B$369, 0)) - WEEKDAY(INDEX('2024'!$A$2:$A$369, MATCH(A332, '2024'!$B$2:$B$369, 0)), 2) + 1), "")</f>
        <v/>
      </c>
      <c r="D332" s="15" t="str">
        <f>IF(C332="","",IF(C332=C331, "", SUMIFS('2024'!D:D,C:C, C332)))</f>
        <v/>
      </c>
      <c r="E332" s="3" t="str">
        <f>IF(C332="","",IF(C332=C331, "", SUMIFS('2024'!U:U,C:C, C332)))</f>
        <v/>
      </c>
    </row>
    <row r="333" spans="1:5">
      <c r="A333">
        <v>354</v>
      </c>
      <c r="C333" s="16" t="str">
        <f>IFERROR(IF(ISBLANK('2024'!A333), C332,INDEX('2024'!$A$2:$A$369, MATCH(A333, '2024'!$B$2:$B$369, 0)) - WEEKDAY(INDEX('2024'!$A$2:$A$369, MATCH(A333, '2024'!$B$2:$B$369, 0)), 2) + 1), "")</f>
        <v/>
      </c>
      <c r="D333" s="15" t="str">
        <f>IF(C333="","",IF(C333=C332, "", SUMIFS('2024'!D:D,C:C, C333)))</f>
        <v/>
      </c>
      <c r="E333" s="3" t="str">
        <f>IF(C333="","",IF(C333=C332, "", SUMIFS('2024'!U:U,C:C, C333)))</f>
        <v/>
      </c>
    </row>
    <row r="334" spans="1:5">
      <c r="A334">
        <v>355</v>
      </c>
      <c r="C334" s="16" t="str">
        <f>IFERROR(IF(ISBLANK('2024'!A334), C333,INDEX('2024'!$A$2:$A$369, MATCH(A334, '2024'!$B$2:$B$369, 0)) - WEEKDAY(INDEX('2024'!$A$2:$A$369, MATCH(A334, '2024'!$B$2:$B$369, 0)), 2) + 1), "")</f>
        <v/>
      </c>
      <c r="D334" s="15" t="str">
        <f>IF(C334="","",IF(C334=C333, "", SUMIFS('2024'!D:D,C:C, C334)))</f>
        <v/>
      </c>
      <c r="E334" s="3" t="str">
        <f>IF(C334="","",IF(C334=C333, "", SUMIFS('2024'!U:U,C:C, C334)))</f>
        <v/>
      </c>
    </row>
    <row r="335" spans="1:5">
      <c r="A335">
        <v>356</v>
      </c>
      <c r="C335" s="16" t="str">
        <f>IFERROR(IF(ISBLANK('2024'!A335), C334,INDEX('2024'!$A$2:$A$369, MATCH(A335, '2024'!$B$2:$B$369, 0)) - WEEKDAY(INDEX('2024'!$A$2:$A$369, MATCH(A335, '2024'!$B$2:$B$369, 0)), 2) + 1), "")</f>
        <v/>
      </c>
      <c r="D335" s="15" t="str">
        <f>IF(C335="","",IF(C335=C334, "", SUMIFS('2024'!D:D,C:C, C335)))</f>
        <v/>
      </c>
      <c r="E335" s="3" t="str">
        <f>IF(C335="","",IF(C335=C334, "", SUMIFS('2024'!U:U,C:C, C335)))</f>
        <v/>
      </c>
    </row>
    <row r="336" spans="1:5">
      <c r="A336">
        <v>357</v>
      </c>
      <c r="C336" s="16" t="str">
        <f>IFERROR(IF(ISBLANK('2024'!A336), C335,INDEX('2024'!$A$2:$A$369, MATCH(A336, '2024'!$B$2:$B$369, 0)) - WEEKDAY(INDEX('2024'!$A$2:$A$369, MATCH(A336, '2024'!$B$2:$B$369, 0)), 2) + 1), "")</f>
        <v/>
      </c>
      <c r="D336" s="15" t="str">
        <f>IF(C336="","",IF(C336=C335, "", SUMIFS('2024'!D:D,C:C, C336)))</f>
        <v/>
      </c>
      <c r="E336" s="3" t="str">
        <f>IF(C336="","",IF(C336=C335, "", SUMIFS('2024'!U:U,C:C, C336)))</f>
        <v/>
      </c>
    </row>
    <row r="337" spans="1:5">
      <c r="A337">
        <v>358</v>
      </c>
      <c r="C337" s="16" t="str">
        <f>IFERROR(IF(ISBLANK('2024'!A337), C336,INDEX('2024'!$A$2:$A$369, MATCH(A337, '2024'!$B$2:$B$369, 0)) - WEEKDAY(INDEX('2024'!$A$2:$A$369, MATCH(A337, '2024'!$B$2:$B$369, 0)), 2) + 1), "")</f>
        <v/>
      </c>
      <c r="D337" s="15" t="str">
        <f>IF(C337="","",IF(C337=C336, "", SUMIFS('2024'!D:D,C:C, C337)))</f>
        <v/>
      </c>
      <c r="E337" s="3" t="str">
        <f>IF(C337="","",IF(C337=C336, "", SUMIFS('2024'!U:U,C:C, C337)))</f>
        <v/>
      </c>
    </row>
    <row r="338" spans="1:5">
      <c r="A338">
        <v>359</v>
      </c>
      <c r="C338" s="16" t="str">
        <f>IFERROR(IF(ISBLANK('2024'!A338), C337,INDEX('2024'!$A$2:$A$369, MATCH(A338, '2024'!$B$2:$B$369, 0)) - WEEKDAY(INDEX('2024'!$A$2:$A$369, MATCH(A338, '2024'!$B$2:$B$369, 0)), 2) + 1), "")</f>
        <v/>
      </c>
      <c r="D338" s="15" t="str">
        <f>IF(C338="","",IF(C338=C337, "", SUMIFS('2024'!D:D,C:C, C338)))</f>
        <v/>
      </c>
      <c r="E338" s="3" t="str">
        <f>IF(C338="","",IF(C338=C337, "", SUMIFS('2024'!U:U,C:C, C338)))</f>
        <v/>
      </c>
    </row>
    <row r="339" spans="1:5">
      <c r="A339">
        <v>360</v>
      </c>
      <c r="C339" s="16" t="str">
        <f>IFERROR(IF(ISBLANK('2024'!A339), C338,INDEX('2024'!$A$2:$A$369, MATCH(A339, '2024'!$B$2:$B$369, 0)) - WEEKDAY(INDEX('2024'!$A$2:$A$369, MATCH(A339, '2024'!$B$2:$B$369, 0)), 2) + 1), "")</f>
        <v/>
      </c>
      <c r="D339" s="15" t="str">
        <f>IF(C339="","",IF(C339=C338, "", SUMIFS('2024'!D:D,C:C, C339)))</f>
        <v/>
      </c>
      <c r="E339" s="3" t="str">
        <f>IF(C339="","",IF(C339=C338, "", SUMIFS('2024'!U:U,C:C, C339)))</f>
        <v/>
      </c>
    </row>
    <row r="340" spans="1:5">
      <c r="A340">
        <v>361</v>
      </c>
      <c r="C340" s="16" t="str">
        <f>IFERROR(IF(ISBLANK('2024'!A340), C339,INDEX('2024'!$A$2:$A$369, MATCH(A340, '2024'!$B$2:$B$369, 0)) - WEEKDAY(INDEX('2024'!$A$2:$A$369, MATCH(A340, '2024'!$B$2:$B$369, 0)), 2) + 1), "")</f>
        <v/>
      </c>
      <c r="D340" s="15" t="str">
        <f>IF(C340="","",IF(C340=C339, "", SUMIFS('2024'!D:D,C:C, C340)))</f>
        <v/>
      </c>
      <c r="E340" s="3" t="str">
        <f>IF(C340="","",IF(C340=C339, "", SUMIFS('2024'!U:U,C:C, C340)))</f>
        <v/>
      </c>
    </row>
    <row r="341" spans="1:5">
      <c r="A341">
        <v>362</v>
      </c>
      <c r="C341" s="16" t="str">
        <f>IFERROR(IF(ISBLANK('2024'!A341), C340,INDEX('2024'!$A$2:$A$369, MATCH(A341, '2024'!$B$2:$B$369, 0)) - WEEKDAY(INDEX('2024'!$A$2:$A$369, MATCH(A341, '2024'!$B$2:$B$369, 0)), 2) + 1), "")</f>
        <v/>
      </c>
      <c r="D341" s="15" t="str">
        <f>IF(C341="","",IF(C341=C340, "", SUMIFS('2024'!D:D,C:C, C341)))</f>
        <v/>
      </c>
      <c r="E341" s="3" t="str">
        <f>IF(C341="","",IF(C341=C340, "", SUMIFS('2024'!U:U,C:C, C341)))</f>
        <v/>
      </c>
    </row>
    <row r="342" spans="1:5">
      <c r="A342">
        <v>363</v>
      </c>
      <c r="C342" s="16" t="str">
        <f>IFERROR(IF(ISBLANK('2024'!A342), C341,INDEX('2024'!$A$2:$A$369, MATCH(A342, '2024'!$B$2:$B$369, 0)) - WEEKDAY(INDEX('2024'!$A$2:$A$369, MATCH(A342, '2024'!$B$2:$B$369, 0)), 2) + 1), "")</f>
        <v/>
      </c>
      <c r="D342" s="15" t="str">
        <f>IF(C342="","",IF(C342=C341, "", SUMIFS('2024'!D:D,C:C, C342)))</f>
        <v/>
      </c>
      <c r="E342" s="3" t="str">
        <f>IF(C342="","",IF(C342=C341, "", SUMIFS('2024'!U:U,C:C, C342)))</f>
        <v/>
      </c>
    </row>
    <row r="343" spans="1:5">
      <c r="A343">
        <v>364</v>
      </c>
      <c r="C343" s="16" t="str">
        <f>IFERROR(IF(ISBLANK('2024'!A343), C342,INDEX('2024'!$A$2:$A$369, MATCH(A343, '2024'!$B$2:$B$369, 0)) - WEEKDAY(INDEX('2024'!$A$2:$A$369, MATCH(A343, '2024'!$B$2:$B$369, 0)), 2) + 1), "")</f>
        <v/>
      </c>
      <c r="D343" s="15" t="str">
        <f>IF(C343="","",IF(C343=C342, "", SUMIFS('2024'!D:D,C:C, C343)))</f>
        <v/>
      </c>
      <c r="E343" s="3" t="str">
        <f>IF(C343="","",IF(C343=C342, "", SUMIFS('2024'!U:U,C:C, C343)))</f>
        <v/>
      </c>
    </row>
    <row r="344" spans="1:5">
      <c r="A344">
        <v>365</v>
      </c>
      <c r="C344" s="16" t="str">
        <f>IFERROR(IF(ISBLANK('2024'!A344), C343,INDEX('2024'!$A$2:$A$369, MATCH(A344, '2024'!$B$2:$B$369, 0)) - WEEKDAY(INDEX('2024'!$A$2:$A$369, MATCH(A344, '2024'!$B$2:$B$369, 0)), 2) + 1), "")</f>
        <v/>
      </c>
      <c r="D344" s="15" t="str">
        <f>IF(C344="","",IF(C344=C343, "", SUMIFS('2024'!D:D,C:C, C344)))</f>
        <v/>
      </c>
      <c r="E344" s="3" t="str">
        <f>IF(C344="","",IF(C344=C343, "", SUMIFS('2024'!U:U,C:C, C344)))</f>
        <v/>
      </c>
    </row>
    <row r="345" spans="1:5">
      <c r="A345">
        <v>366</v>
      </c>
      <c r="C345" s="16" t="str">
        <f>IFERROR(IF(ISBLANK('2024'!A345), C344,INDEX('2024'!$A$2:$A$369, MATCH(A345, '2024'!$B$2:$B$369, 0)) - WEEKDAY(INDEX('2024'!$A$2:$A$369, MATCH(A345, '2024'!$B$2:$B$369, 0)), 2) + 1), "")</f>
        <v/>
      </c>
      <c r="D345" s="15" t="str">
        <f>IF(C345="","",IF(C345=C344, "", SUMIFS('2024'!D:D,C:C, C345)))</f>
        <v/>
      </c>
      <c r="E345" s="3" t="str">
        <f>IF(C345="","",IF(C345=C344, "", SUMIFS('2024'!U:U,C:C, C345)))</f>
        <v/>
      </c>
    </row>
    <row r="346" spans="1:5">
      <c r="A346">
        <v>367</v>
      </c>
      <c r="C346" s="16" t="str">
        <f>IFERROR(IF(ISBLANK('2024'!A346), C345,INDEX('2024'!$A$2:$A$369, MATCH(A346, '2024'!$B$2:$B$369, 0)) - WEEKDAY(INDEX('2024'!$A$2:$A$369, MATCH(A346, '2024'!$B$2:$B$369, 0)), 2) + 1), "")</f>
        <v/>
      </c>
      <c r="D346" s="15" t="str">
        <f>IF(C346="","",IF(C346=C345, "", SUMIFS('2024'!D:D,C:C, C346)))</f>
        <v/>
      </c>
      <c r="E346" s="3" t="str">
        <f>IF(C346="","",IF(C346=C345, "", SUMIFS('2024'!U:U,C:C, C346)))</f>
        <v/>
      </c>
    </row>
    <row r="347" spans="1:5">
      <c r="A347">
        <v>368</v>
      </c>
      <c r="C347" s="16" t="str">
        <f>IFERROR(IF(ISBLANK('2024'!A347), C346,INDEX('2024'!$A$2:$A$369, MATCH(A347, '2024'!$B$2:$B$369, 0)) - WEEKDAY(INDEX('2024'!$A$2:$A$369, MATCH(A347, '2024'!$B$2:$B$369, 0)), 2) + 1), "")</f>
        <v/>
      </c>
      <c r="D347" s="15" t="str">
        <f>IF(C347="","",IF(C347=C346, "", SUMIFS('2024'!D:D,C:C, C347)))</f>
        <v/>
      </c>
      <c r="E347" s="3" t="str">
        <f>IF(C347="","",IF(C347=C346, "", SUMIFS('2024'!U:U,C:C, C347)))</f>
        <v/>
      </c>
    </row>
    <row r="348" spans="1:5">
      <c r="C348" s="16" t="str">
        <f t="shared" ref="C348:C368" si="0">IF(ISNUMBER(A348), A348 - WEEKDAY(A348, 2) + 1, C347)</f>
        <v/>
      </c>
      <c r="D348" s="15" t="str">
        <f>IF(C348=C347, "", SUMIFS( '2024'!C:C,C:C, C348))</f>
        <v/>
      </c>
      <c r="E348" s="3" t="str">
        <f>IF(C348=C347, "", SUMIFS( '2024'!U:U,C:C, C348))</f>
        <v/>
      </c>
    </row>
    <row r="349" spans="1:5">
      <c r="C349" s="16" t="str">
        <f t="shared" si="0"/>
        <v/>
      </c>
      <c r="D349" s="15" t="str">
        <f>IF(C349=C348, "", SUMIFS( '2024'!C:C,C:C, C349))</f>
        <v/>
      </c>
      <c r="E349" s="3" t="str">
        <f>IF(C349=C348, "", SUMIFS( '2024'!U:U,C:C, C349))</f>
        <v/>
      </c>
    </row>
    <row r="350" spans="1:5">
      <c r="C350" s="16" t="str">
        <f t="shared" si="0"/>
        <v/>
      </c>
      <c r="D350" s="15" t="str">
        <f>IF(C350=C349, "", SUMIFS( '2024'!C:C,C:C, C350))</f>
        <v/>
      </c>
      <c r="E350" s="3" t="str">
        <f>IF(C350=C349, "", SUMIFS( '2024'!U:U,C:C, C350))</f>
        <v/>
      </c>
    </row>
    <row r="351" spans="1:5">
      <c r="C351" s="16" t="str">
        <f t="shared" si="0"/>
        <v/>
      </c>
      <c r="D351" s="15" t="str">
        <f>IF(C351=C350, "", SUMIFS( '2024'!C:C,C:C, C351))</f>
        <v/>
      </c>
      <c r="E351" s="3" t="str">
        <f>IF(C351=C350, "", SUMIFS( '2024'!U:U,C:C, C351))</f>
        <v/>
      </c>
    </row>
    <row r="352" spans="1:5">
      <c r="C352" s="16" t="str">
        <f t="shared" si="0"/>
        <v/>
      </c>
      <c r="D352" s="15" t="str">
        <f>IF(C352=C351, "", SUMIFS( '2024'!C:C,C:C, C352))</f>
        <v/>
      </c>
      <c r="E352" s="3" t="str">
        <f>IF(C352=C351, "", SUMIFS( '2024'!U:U,C:C, C352))</f>
        <v/>
      </c>
    </row>
    <row r="353" spans="3:5">
      <c r="C353" s="16" t="str">
        <f t="shared" si="0"/>
        <v/>
      </c>
      <c r="D353" s="15" t="str">
        <f>IF(C353=C352, "", SUMIFS( '2024'!C:C,C:C, C353))</f>
        <v/>
      </c>
      <c r="E353" s="3" t="str">
        <f>IF(C353=C352, "", SUMIFS( '2024'!U:U,C:C, C353))</f>
        <v/>
      </c>
    </row>
    <row r="354" spans="3:5">
      <c r="C354" s="16" t="str">
        <f t="shared" si="0"/>
        <v/>
      </c>
      <c r="D354" s="15" t="str">
        <f>IF(C354=C353, "", SUMIFS( '2024'!C:C,C:C, C354))</f>
        <v/>
      </c>
      <c r="E354" s="3" t="str">
        <f>IF(C354=C353, "", SUMIFS( '2024'!U:U,C:C, C354))</f>
        <v/>
      </c>
    </row>
    <row r="355" spans="3:5">
      <c r="C355" s="16" t="str">
        <f t="shared" si="0"/>
        <v/>
      </c>
      <c r="D355" s="15" t="str">
        <f>IF(C355=C354, "", SUMIFS( '2024'!C:C,C:C, C355))</f>
        <v/>
      </c>
      <c r="E355" s="3" t="str">
        <f>IF(C355=C354, "", SUMIFS( '2024'!U:U,C:C, C355))</f>
        <v/>
      </c>
    </row>
    <row r="356" spans="3:5">
      <c r="C356" s="16" t="str">
        <f t="shared" si="0"/>
        <v/>
      </c>
      <c r="D356" s="15" t="str">
        <f>IF(C356=C355, "", SUMIFS( '2024'!C:C,C:C, C356))</f>
        <v/>
      </c>
      <c r="E356" s="3" t="str">
        <f>IF(C356=C355, "", SUMIFS( '2024'!U:U,C:C, C356))</f>
        <v/>
      </c>
    </row>
    <row r="357" spans="3:5">
      <c r="C357" s="16" t="str">
        <f t="shared" si="0"/>
        <v/>
      </c>
      <c r="D357" s="15" t="str">
        <f>IF(C357=C356, "", SUMIFS( '2024'!C:C,C:C, C357))</f>
        <v/>
      </c>
      <c r="E357" s="3" t="str">
        <f>IF(C357=C356, "", SUMIFS( '2024'!U:U,C:C, C357))</f>
        <v/>
      </c>
    </row>
    <row r="358" spans="3:5">
      <c r="C358" s="16" t="str">
        <f t="shared" si="0"/>
        <v/>
      </c>
      <c r="D358" s="15" t="str">
        <f>IF(C358=C357, "", SUMIFS( '2024'!C:C,C:C, C358))</f>
        <v/>
      </c>
      <c r="E358" s="3" t="str">
        <f>IF(C358=C357, "", SUMIFS( '2024'!U:U,C:C, C358))</f>
        <v/>
      </c>
    </row>
    <row r="359" spans="3:5">
      <c r="C359" s="16" t="str">
        <f t="shared" si="0"/>
        <v/>
      </c>
      <c r="D359" s="15" t="str">
        <f>IF(C359=C358, "", SUMIFS( '2024'!C:C,C:C, C359))</f>
        <v/>
      </c>
      <c r="E359" s="3" t="str">
        <f>IF(C359=C358, "", SUMIFS( '2024'!U:U,C:C, C359))</f>
        <v/>
      </c>
    </row>
    <row r="360" spans="3:5">
      <c r="C360" s="16" t="str">
        <f t="shared" si="0"/>
        <v/>
      </c>
      <c r="D360" s="15" t="str">
        <f>IF(C360=C359, "", SUMIFS( '2024'!C:C,C:C, C360))</f>
        <v/>
      </c>
      <c r="E360" s="3" t="str">
        <f>IF(C360=C359, "", SUMIFS( '2024'!U:U,C:C, C360))</f>
        <v/>
      </c>
    </row>
    <row r="361" spans="3:5">
      <c r="C361" s="16" t="str">
        <f t="shared" si="0"/>
        <v/>
      </c>
      <c r="D361" s="15" t="str">
        <f>IF(C361=C360, "", SUMIFS( '2024'!C:C,C:C, C361))</f>
        <v/>
      </c>
      <c r="E361" s="3" t="str">
        <f>IF(C361=C360, "", SUMIFS( '2024'!U:U,C:C, C361))</f>
        <v/>
      </c>
    </row>
    <row r="362" spans="3:5">
      <c r="C362" s="16" t="str">
        <f t="shared" si="0"/>
        <v/>
      </c>
      <c r="D362" s="15" t="str">
        <f>IF(C362=C361, "", SUMIFS( '2024'!C:C,C:C, C362))</f>
        <v/>
      </c>
      <c r="E362" s="3" t="str">
        <f>IF(C362=C361, "", SUMIFS( '2024'!U:U,C:C, C362))</f>
        <v/>
      </c>
    </row>
    <row r="363" spans="3:5">
      <c r="C363" s="16" t="str">
        <f t="shared" si="0"/>
        <v/>
      </c>
      <c r="D363" s="15" t="str">
        <f>IF(C363=C362, "", SUMIFS( '2024'!C:C,C:C, C363))</f>
        <v/>
      </c>
      <c r="E363" s="3" t="str">
        <f>IF(C363=C362, "", SUMIFS( '2024'!U:U,C:C, C363))</f>
        <v/>
      </c>
    </row>
    <row r="364" spans="3:5">
      <c r="C364" s="16" t="str">
        <f t="shared" si="0"/>
        <v/>
      </c>
      <c r="D364" s="15" t="str">
        <f>IF(C364=C363, "", SUMIFS( '2024'!C:C,C:C, C364))</f>
        <v/>
      </c>
      <c r="E364" s="3" t="str">
        <f>IF(C364=C363, "", SUMIFS( '2024'!U:U,C:C, C364))</f>
        <v/>
      </c>
    </row>
    <row r="365" spans="3:5">
      <c r="C365" s="16" t="str">
        <f t="shared" si="0"/>
        <v/>
      </c>
      <c r="D365" s="15" t="str">
        <f>IF(C365=C364, "", SUMIFS( '2024'!C:C,C:C, C365))</f>
        <v/>
      </c>
      <c r="E365" s="3" t="str">
        <f>IF(C365=C364, "", SUMIFS( '2024'!U:U,C:C, C365))</f>
        <v/>
      </c>
    </row>
    <row r="366" spans="3:5">
      <c r="C366" s="16" t="str">
        <f t="shared" si="0"/>
        <v/>
      </c>
      <c r="D366" s="15" t="str">
        <f>IF(C366=C365, "", SUMIFS( '2024'!C:C,C:C, C366))</f>
        <v/>
      </c>
      <c r="E366" s="3" t="str">
        <f>IF(C366=C365, "", SUMIFS( '2024'!U:U,C:C, C366))</f>
        <v/>
      </c>
    </row>
    <row r="367" spans="3:5">
      <c r="C367" s="16" t="str">
        <f t="shared" si="0"/>
        <v/>
      </c>
      <c r="D367" s="15" t="str">
        <f>IF(C367=C366, "", SUMIFS( '2024'!C:C,C:C, C367))</f>
        <v/>
      </c>
      <c r="E367" s="3" t="str">
        <f>IF(C367=C366, "", SUMIFS( '2024'!U:U,C:C, C367))</f>
        <v/>
      </c>
    </row>
    <row r="368" spans="3:5">
      <c r="C368" s="16" t="str">
        <f t="shared" si="0"/>
        <v/>
      </c>
      <c r="D368" s="15" t="str">
        <f>IF(C368=C367, "", SUMIFS( '2024'!C:C,C:C, C368))</f>
        <v/>
      </c>
      <c r="E368" s="3" t="str">
        <f>IF(C368=C367, "", SUMIFS( '2024'!U:U,C:C, C368))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16EDB255-A533-4277-9F95-0C78C965A200}">
  <ds:schemaRefs/>
</ds:datastoreItem>
</file>

<file path=customXml/itemProps2.xml><?xml version="1.0" encoding="utf-8"?>
<ds:datastoreItem xmlns:ds="http://schemas.openxmlformats.org/officeDocument/2006/customXml" ds:itemID="{6379DF15-054E-46F8-8960-04684A6D5FBF}">
  <ds:schemaRefs/>
</ds:datastoreItem>
</file>

<file path=customXml/itemProps3.xml><?xml version="1.0" encoding="utf-8"?>
<ds:datastoreItem xmlns:ds="http://schemas.openxmlformats.org/officeDocument/2006/customXml" ds:itemID="{645F894C-AC8B-4317-A524-FD109BCB9BD2}">
  <ds:schemaRefs/>
</ds:datastoreItem>
</file>

<file path=customXml/itemProps4.xml><?xml version="1.0" encoding="utf-8"?>
<ds:datastoreItem xmlns:ds="http://schemas.openxmlformats.org/officeDocument/2006/customXml" ds:itemID="{F922BA67-7D44-4F8A-B207-B2A74EC69F8C}">
  <ds:schemaRefs/>
</ds:datastoreItem>
</file>

<file path=customXml/itemProps5.xml><?xml version="1.0" encoding="utf-8"?>
<ds:datastoreItem xmlns:ds="http://schemas.openxmlformats.org/officeDocument/2006/customXml" ds:itemID="{2A8F364F-173F-4CA1-8C79-59C3063E17B8}">
  <ds:schemaRefs/>
</ds:datastoreItem>
</file>

<file path=customXml/itemProps6.xml><?xml version="1.0" encoding="utf-8"?>
<ds:datastoreItem xmlns:ds="http://schemas.openxmlformats.org/officeDocument/2006/customXml" ds:itemID="{4500C49E-74F4-4F19-BC86-227F46C922CA}">
  <ds:schemaRefs/>
</ds:datastoreItem>
</file>

<file path=customXml/itemProps7.xml><?xml version="1.0" encoding="utf-8"?>
<ds:datastoreItem xmlns:ds="http://schemas.openxmlformats.org/officeDocument/2006/customXml" ds:itemID="{46B2D974-6C17-45F8-B503-13AF0BBF7161}">
  <ds:schemaRefs/>
</ds:datastoreItem>
</file>

<file path=customXml/itemProps8.xml><?xml version="1.0" encoding="utf-8"?>
<ds:datastoreItem xmlns:ds="http://schemas.openxmlformats.org/officeDocument/2006/customXml" ds:itemID="{F4003F95-E028-41EC-80B4-FE94226A85AF}">
  <ds:schemaRefs/>
</ds:datastoreItem>
</file>

<file path=customXml/itemProps9.xml><?xml version="1.0" encoding="utf-8"?>
<ds:datastoreItem xmlns:ds="http://schemas.openxmlformats.org/officeDocument/2006/customXml" ds:itemID="{FCC89E51-FF5C-47B8-8F2D-A0ECBB6AC4A0}">
  <ds:schemaRefs/>
</ds:datastoreItem>
</file>

<file path=customXml/itemProps10.xml><?xml version="1.0" encoding="utf-8"?>
<ds:datastoreItem xmlns:ds="http://schemas.openxmlformats.org/officeDocument/2006/customXml" ds:itemID="{B92ACD27-B00C-45B6-996E-442D2D956254}">
  <ds:schemaRefs/>
</ds:datastoreItem>
</file>

<file path=customXml/itemProps11.xml><?xml version="1.0" encoding="utf-8"?>
<ds:datastoreItem xmlns:ds="http://schemas.openxmlformats.org/officeDocument/2006/customXml" ds:itemID="{8D2E0615-A4F2-496B-8EB0-FA77AF3D853B}">
  <ds:schemaRefs/>
</ds:datastoreItem>
</file>

<file path=customXml/itemProps12.xml><?xml version="1.0" encoding="utf-8"?>
<ds:datastoreItem xmlns:ds="http://schemas.openxmlformats.org/officeDocument/2006/customXml" ds:itemID="{162A3545-1F11-4FB0-BD7A-22A5401B96D2}">
  <ds:schemaRefs/>
</ds:datastoreItem>
</file>

<file path=customXml/itemProps13.xml><?xml version="1.0" encoding="utf-8"?>
<ds:datastoreItem xmlns:ds="http://schemas.openxmlformats.org/officeDocument/2006/customXml" ds:itemID="{04F108CF-B7E5-43AE-A69A-F40CA981F86C}">
  <ds:schemaRefs/>
</ds:datastoreItem>
</file>

<file path=customXml/itemProps14.xml><?xml version="1.0" encoding="utf-8"?>
<ds:datastoreItem xmlns:ds="http://schemas.openxmlformats.org/officeDocument/2006/customXml" ds:itemID="{97B4E90D-79D9-4394-A888-A0987FDB9AD3}">
  <ds:schemaRefs/>
</ds:datastoreItem>
</file>

<file path=customXml/itemProps15.xml><?xml version="1.0" encoding="utf-8"?>
<ds:datastoreItem xmlns:ds="http://schemas.openxmlformats.org/officeDocument/2006/customXml" ds:itemID="{1D7ED698-D8C5-4637-8F3A-7141D9698D04}">
  <ds:schemaRefs/>
</ds:datastoreItem>
</file>

<file path=customXml/itemProps16.xml><?xml version="1.0" encoding="utf-8"?>
<ds:datastoreItem xmlns:ds="http://schemas.openxmlformats.org/officeDocument/2006/customXml" ds:itemID="{3C9E24BA-1EA7-4155-BFF6-C48017BA8515}">
  <ds:schemaRefs/>
</ds:datastoreItem>
</file>

<file path=customXml/itemProps17.xml><?xml version="1.0" encoding="utf-8"?>
<ds:datastoreItem xmlns:ds="http://schemas.openxmlformats.org/officeDocument/2006/customXml" ds:itemID="{A605E00D-7D62-4A37-AA1B-935C281E09A3}">
  <ds:schemaRefs/>
</ds:datastoreItem>
</file>

<file path=customXml/itemProps18.xml><?xml version="1.0" encoding="utf-8"?>
<ds:datastoreItem xmlns:ds="http://schemas.openxmlformats.org/officeDocument/2006/customXml" ds:itemID="{CC787540-56AC-4230-BCAC-4D28B06CF4E9}">
  <ds:schemaRefs/>
</ds:datastoreItem>
</file>

<file path=customXml/itemProps19.xml><?xml version="1.0" encoding="utf-8"?>
<ds:datastoreItem xmlns:ds="http://schemas.openxmlformats.org/officeDocument/2006/customXml" ds:itemID="{EFE92A15-8C24-4FD7-9CD3-451D87C557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2024</vt:lpstr>
      <vt:lpstr>2024ds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Oskari Sulkakoski</dc:creator>
  <cp:lastModifiedBy>Oskari Sulkakoski</cp:lastModifiedBy>
  <dcterms:created xsi:type="dcterms:W3CDTF">2024-07-07T12:41:51Z</dcterms:created>
  <dcterms:modified xsi:type="dcterms:W3CDTF">2024-08-08T04:03:56Z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2024-07-07T12:43:16Z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2baacab8-5842-4cae-b85b-f70bdcce9af2</vt:lpwstr>
  </property>
  <property fmtid="{D5CDD505-2E9C-101B-9397-08002B2CF9AE}" pid="7" name="MSIP_Label_defa4170-0d19-0005-0004-bc88714345d2_ActionId">
    <vt:lpwstr>2260a790-60fd-4b1d-91c3-9c6424b88a95</vt:lpwstr>
  </property>
  <property fmtid="{D5CDD505-2E9C-101B-9397-08002B2CF9AE}" pid="8" name="MSIP_Label_defa4170-0d19-0005-0004-bc88714345d2_ContentBits">
    <vt:lpwstr>0</vt:lpwstr>
  </property>
</Properties>
</file>