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ntragen-my.sharepoint.com/personal/oskari_sulkakoski_intragen_com/Documents/excel/"/>
    </mc:Choice>
  </mc:AlternateContent>
  <xr:revisionPtr revIDLastSave="11" documentId="11_B00E6931848CEAE6A70E887CA4B66383C2B0AA29" xr6:coauthVersionLast="47" xr6:coauthVersionMax="47" xr10:uidLastSave="{9EAAC8D9-72C6-4C5F-BD5B-0F1BB3DC7B8B}"/>
  <bookViews>
    <workbookView xWindow="1170" yWindow="1170" windowWidth="28800" windowHeight="11295" xr2:uid="{00000000-000D-0000-FFFF-FFFF00000000}"/>
  </bookViews>
  <sheets>
    <sheet name="2026" sheetId="1" r:id="rId1"/>
  </sheets>
  <calcPr calcId="191029"/>
  <pivotCaches>
    <pivotCache cacheId="7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75" i="1" l="1"/>
  <c r="P374" i="1"/>
  <c r="P373" i="1"/>
  <c r="R372" i="1"/>
  <c r="P372" i="1"/>
  <c r="R371" i="1"/>
  <c r="P371" i="1"/>
  <c r="R370" i="1"/>
  <c r="P370" i="1"/>
  <c r="R369" i="1"/>
  <c r="P369" i="1"/>
  <c r="R368" i="1"/>
  <c r="P368" i="1"/>
  <c r="R367" i="1"/>
  <c r="P367" i="1"/>
  <c r="R366" i="1"/>
  <c r="P366" i="1"/>
  <c r="R365" i="1"/>
  <c r="O365" i="1"/>
  <c r="Q365" i="1" s="1"/>
  <c r="J365" i="1" s="1"/>
  <c r="N365" i="1"/>
  <c r="R364" i="1"/>
  <c r="Q364" i="1"/>
  <c r="J364" i="1" s="1"/>
  <c r="O364" i="1"/>
  <c r="P364" i="1" s="1"/>
  <c r="N364" i="1"/>
  <c r="R363" i="1"/>
  <c r="O363" i="1"/>
  <c r="P363" i="1" s="1"/>
  <c r="N363" i="1"/>
  <c r="R362" i="1"/>
  <c r="O362" i="1"/>
  <c r="N362" i="1"/>
  <c r="R361" i="1"/>
  <c r="Q361" i="1"/>
  <c r="J361" i="1" s="1"/>
  <c r="P361" i="1"/>
  <c r="O361" i="1"/>
  <c r="N361" i="1"/>
  <c r="R360" i="1"/>
  <c r="Q360" i="1"/>
  <c r="P360" i="1"/>
  <c r="O360" i="1"/>
  <c r="N360" i="1"/>
  <c r="J360" i="1"/>
  <c r="R359" i="1"/>
  <c r="Q359" i="1"/>
  <c r="J359" i="1" s="1"/>
  <c r="P359" i="1"/>
  <c r="O359" i="1"/>
  <c r="N359" i="1"/>
  <c r="R358" i="1"/>
  <c r="O358" i="1"/>
  <c r="N358" i="1"/>
  <c r="R357" i="1"/>
  <c r="Q357" i="1"/>
  <c r="J357" i="1" s="1"/>
  <c r="P357" i="1"/>
  <c r="O357" i="1"/>
  <c r="N357" i="1"/>
  <c r="R356" i="1"/>
  <c r="Q356" i="1"/>
  <c r="J356" i="1" s="1"/>
  <c r="O356" i="1"/>
  <c r="P356" i="1" s="1"/>
  <c r="N356" i="1"/>
  <c r="R355" i="1"/>
  <c r="Q355" i="1"/>
  <c r="J355" i="1" s="1"/>
  <c r="O355" i="1"/>
  <c r="P355" i="1" s="1"/>
  <c r="N355" i="1"/>
  <c r="R354" i="1"/>
  <c r="Q354" i="1"/>
  <c r="J354" i="1" s="1"/>
  <c r="P354" i="1"/>
  <c r="O354" i="1"/>
  <c r="N354" i="1"/>
  <c r="R353" i="1"/>
  <c r="O353" i="1"/>
  <c r="P353" i="1" s="1"/>
  <c r="N353" i="1"/>
  <c r="R352" i="1"/>
  <c r="Q352" i="1"/>
  <c r="J352" i="1" s="1"/>
  <c r="P352" i="1"/>
  <c r="O352" i="1"/>
  <c r="N352" i="1"/>
  <c r="R351" i="1"/>
  <c r="O351" i="1"/>
  <c r="P351" i="1" s="1"/>
  <c r="N351" i="1"/>
  <c r="R350" i="1"/>
  <c r="O350" i="1"/>
  <c r="Q350" i="1" s="1"/>
  <c r="J350" i="1" s="1"/>
  <c r="N350" i="1"/>
  <c r="R349" i="1"/>
  <c r="Q349" i="1"/>
  <c r="O349" i="1"/>
  <c r="P349" i="1" s="1"/>
  <c r="N349" i="1"/>
  <c r="J349" i="1"/>
  <c r="R348" i="1"/>
  <c r="Q348" i="1"/>
  <c r="J348" i="1" s="1"/>
  <c r="P348" i="1"/>
  <c r="O348" i="1"/>
  <c r="N348" i="1"/>
  <c r="R347" i="1"/>
  <c r="P347" i="1"/>
  <c r="O347" i="1"/>
  <c r="Q347" i="1" s="1"/>
  <c r="N347" i="1"/>
  <c r="J347" i="1"/>
  <c r="R346" i="1"/>
  <c r="Q346" i="1"/>
  <c r="J346" i="1" s="1"/>
  <c r="O346" i="1"/>
  <c r="P346" i="1" s="1"/>
  <c r="N346" i="1"/>
  <c r="R345" i="1"/>
  <c r="P345" i="1"/>
  <c r="O345" i="1"/>
  <c r="Q345" i="1" s="1"/>
  <c r="N345" i="1"/>
  <c r="R344" i="1"/>
  <c r="Q344" i="1"/>
  <c r="O344" i="1"/>
  <c r="P344" i="1" s="1"/>
  <c r="N344" i="1"/>
  <c r="R343" i="1"/>
  <c r="Q343" i="1"/>
  <c r="P343" i="1"/>
  <c r="O343" i="1"/>
  <c r="N343" i="1"/>
  <c r="R342" i="1"/>
  <c r="Q342" i="1"/>
  <c r="P342" i="1"/>
  <c r="O342" i="1"/>
  <c r="N342" i="1"/>
  <c r="R341" i="1"/>
  <c r="O341" i="1"/>
  <c r="N341" i="1"/>
  <c r="R340" i="1"/>
  <c r="O340" i="1"/>
  <c r="Q340" i="1" s="1"/>
  <c r="N340" i="1"/>
  <c r="R339" i="1"/>
  <c r="Q339" i="1"/>
  <c r="P339" i="1"/>
  <c r="O339" i="1"/>
  <c r="N339" i="1"/>
  <c r="R338" i="1"/>
  <c r="O338" i="1"/>
  <c r="P338" i="1" s="1"/>
  <c r="N338" i="1"/>
  <c r="R337" i="1"/>
  <c r="O337" i="1"/>
  <c r="P337" i="1" s="1"/>
  <c r="N337" i="1"/>
  <c r="R336" i="1"/>
  <c r="O336" i="1"/>
  <c r="N336" i="1"/>
  <c r="R335" i="1"/>
  <c r="Q335" i="1"/>
  <c r="P335" i="1"/>
  <c r="O335" i="1"/>
  <c r="N335" i="1"/>
  <c r="R334" i="1"/>
  <c r="P334" i="1"/>
  <c r="O334" i="1"/>
  <c r="Q334" i="1" s="1"/>
  <c r="N334" i="1"/>
  <c r="R333" i="1"/>
  <c r="Q333" i="1"/>
  <c r="P333" i="1"/>
  <c r="O333" i="1"/>
  <c r="N333" i="1"/>
  <c r="R332" i="1"/>
  <c r="Q332" i="1"/>
  <c r="P332" i="1"/>
  <c r="O332" i="1"/>
  <c r="N332" i="1"/>
  <c r="R331" i="1"/>
  <c r="O331" i="1"/>
  <c r="P331" i="1" s="1"/>
  <c r="N331" i="1"/>
  <c r="R330" i="1"/>
  <c r="O330" i="1"/>
  <c r="N330" i="1"/>
  <c r="R329" i="1"/>
  <c r="O329" i="1"/>
  <c r="Q329" i="1" s="1"/>
  <c r="N329" i="1"/>
  <c r="R328" i="1"/>
  <c r="Q328" i="1"/>
  <c r="P328" i="1"/>
  <c r="O328" i="1"/>
  <c r="N328" i="1"/>
  <c r="R327" i="1"/>
  <c r="O327" i="1"/>
  <c r="Q327" i="1" s="1"/>
  <c r="N327" i="1"/>
  <c r="R326" i="1"/>
  <c r="O326" i="1"/>
  <c r="Q326" i="1" s="1"/>
  <c r="N326" i="1"/>
  <c r="R325" i="1"/>
  <c r="P325" i="1"/>
  <c r="O325" i="1"/>
  <c r="Q325" i="1" s="1"/>
  <c r="N325" i="1"/>
  <c r="R324" i="1"/>
  <c r="P324" i="1"/>
  <c r="O324" i="1"/>
  <c r="Q324" i="1" s="1"/>
  <c r="N324" i="1"/>
  <c r="R323" i="1"/>
  <c r="Q323" i="1"/>
  <c r="P323" i="1"/>
  <c r="O323" i="1"/>
  <c r="N323" i="1"/>
  <c r="R322" i="1"/>
  <c r="O322" i="1"/>
  <c r="Q322" i="1" s="1"/>
  <c r="N322" i="1"/>
  <c r="R321" i="1"/>
  <c r="O321" i="1"/>
  <c r="Q321" i="1" s="1"/>
  <c r="N321" i="1"/>
  <c r="R320" i="1"/>
  <c r="Q320" i="1"/>
  <c r="P320" i="1"/>
  <c r="O320" i="1"/>
  <c r="N320" i="1"/>
  <c r="R319" i="1"/>
  <c r="P319" i="1"/>
  <c r="O319" i="1"/>
  <c r="Q319" i="1" s="1"/>
  <c r="N319" i="1"/>
  <c r="R318" i="1"/>
  <c r="P318" i="1"/>
  <c r="O318" i="1"/>
  <c r="Q318" i="1" s="1"/>
  <c r="N318" i="1"/>
  <c r="R317" i="1"/>
  <c r="O317" i="1"/>
  <c r="N317" i="1"/>
  <c r="R316" i="1"/>
  <c r="P316" i="1"/>
  <c r="O316" i="1"/>
  <c r="Q316" i="1" s="1"/>
  <c r="N316" i="1"/>
  <c r="R315" i="1"/>
  <c r="Q315" i="1"/>
  <c r="O315" i="1"/>
  <c r="P315" i="1" s="1"/>
  <c r="N315" i="1"/>
  <c r="R314" i="1"/>
  <c r="O314" i="1"/>
  <c r="N314" i="1"/>
  <c r="R313" i="1"/>
  <c r="O313" i="1"/>
  <c r="P313" i="1" s="1"/>
  <c r="N313" i="1"/>
  <c r="R312" i="1"/>
  <c r="O312" i="1"/>
  <c r="Q312" i="1" s="1"/>
  <c r="N312" i="1"/>
  <c r="R311" i="1"/>
  <c r="Q311" i="1"/>
  <c r="P311" i="1"/>
  <c r="O311" i="1"/>
  <c r="N311" i="1"/>
  <c r="R310" i="1"/>
  <c r="Q310" i="1"/>
  <c r="O310" i="1"/>
  <c r="P310" i="1" s="1"/>
  <c r="N310" i="1"/>
  <c r="R309" i="1"/>
  <c r="P309" i="1"/>
  <c r="O309" i="1"/>
  <c r="Q309" i="1" s="1"/>
  <c r="N309" i="1"/>
  <c r="R308" i="1"/>
  <c r="P308" i="1"/>
  <c r="O308" i="1"/>
  <c r="Q308" i="1" s="1"/>
  <c r="N308" i="1"/>
  <c r="R307" i="1"/>
  <c r="O307" i="1"/>
  <c r="Q307" i="1" s="1"/>
  <c r="N307" i="1"/>
  <c r="R306" i="1"/>
  <c r="O306" i="1"/>
  <c r="P306" i="1" s="1"/>
  <c r="N306" i="1"/>
  <c r="R305" i="1"/>
  <c r="O305" i="1"/>
  <c r="Q305" i="1" s="1"/>
  <c r="N305" i="1"/>
  <c r="R304" i="1"/>
  <c r="Q304" i="1"/>
  <c r="P304" i="1"/>
  <c r="O304" i="1"/>
  <c r="N304" i="1"/>
  <c r="R303" i="1"/>
  <c r="P303" i="1"/>
  <c r="O303" i="1"/>
  <c r="Q303" i="1" s="1"/>
  <c r="N303" i="1"/>
  <c r="R302" i="1"/>
  <c r="O302" i="1"/>
  <c r="P302" i="1" s="1"/>
  <c r="N302" i="1"/>
  <c r="R301" i="1"/>
  <c r="O301" i="1"/>
  <c r="P301" i="1" s="1"/>
  <c r="N301" i="1"/>
  <c r="R300" i="1"/>
  <c r="O300" i="1"/>
  <c r="Q300" i="1" s="1"/>
  <c r="N300" i="1"/>
  <c r="R299" i="1"/>
  <c r="P299" i="1"/>
  <c r="O299" i="1"/>
  <c r="Q299" i="1" s="1"/>
  <c r="N299" i="1"/>
  <c r="R298" i="1"/>
  <c r="O298" i="1"/>
  <c r="Q298" i="1" s="1"/>
  <c r="N298" i="1"/>
  <c r="R297" i="1"/>
  <c r="Q297" i="1"/>
  <c r="P297" i="1"/>
  <c r="O297" i="1"/>
  <c r="N297" i="1"/>
  <c r="R296" i="1"/>
  <c r="O296" i="1"/>
  <c r="N296" i="1"/>
  <c r="R295" i="1"/>
  <c r="Q295" i="1"/>
  <c r="P295" i="1"/>
  <c r="O295" i="1"/>
  <c r="N295" i="1"/>
  <c r="R294" i="1"/>
  <c r="Q294" i="1"/>
  <c r="P294" i="1"/>
  <c r="O294" i="1"/>
  <c r="N294" i="1"/>
  <c r="R293" i="1"/>
  <c r="O293" i="1"/>
  <c r="N293" i="1"/>
  <c r="R292" i="1"/>
  <c r="P292" i="1"/>
  <c r="O292" i="1"/>
  <c r="Q292" i="1" s="1"/>
  <c r="N292" i="1"/>
  <c r="R291" i="1"/>
  <c r="Q291" i="1"/>
  <c r="O291" i="1"/>
  <c r="P291" i="1" s="1"/>
  <c r="N291" i="1"/>
  <c r="R290" i="1"/>
  <c r="P290" i="1"/>
  <c r="O290" i="1"/>
  <c r="Q290" i="1" s="1"/>
  <c r="N290" i="1"/>
  <c r="R289" i="1"/>
  <c r="P289" i="1"/>
  <c r="O289" i="1"/>
  <c r="Q289" i="1" s="1"/>
  <c r="N289" i="1"/>
  <c r="R288" i="1"/>
  <c r="Q288" i="1"/>
  <c r="O288" i="1"/>
  <c r="P288" i="1" s="1"/>
  <c r="N288" i="1"/>
  <c r="R287" i="1"/>
  <c r="Q287" i="1"/>
  <c r="O287" i="1"/>
  <c r="P287" i="1" s="1"/>
  <c r="N287" i="1"/>
  <c r="R286" i="1"/>
  <c r="O286" i="1"/>
  <c r="Q286" i="1" s="1"/>
  <c r="N286" i="1"/>
  <c r="R285" i="1"/>
  <c r="Q285" i="1"/>
  <c r="P285" i="1"/>
  <c r="O285" i="1"/>
  <c r="N285" i="1"/>
  <c r="R284" i="1"/>
  <c r="O284" i="1"/>
  <c r="Q284" i="1" s="1"/>
  <c r="N284" i="1"/>
  <c r="R283" i="1"/>
  <c r="Q283" i="1"/>
  <c r="O283" i="1"/>
  <c r="P283" i="1" s="1"/>
  <c r="N283" i="1"/>
  <c r="R282" i="1"/>
  <c r="O282" i="1"/>
  <c r="Q282" i="1" s="1"/>
  <c r="N282" i="1"/>
  <c r="R281" i="1"/>
  <c r="O281" i="1"/>
  <c r="N281" i="1"/>
  <c r="R280" i="1"/>
  <c r="O280" i="1"/>
  <c r="Q280" i="1" s="1"/>
  <c r="N280" i="1"/>
  <c r="R279" i="1"/>
  <c r="Q279" i="1"/>
  <c r="O279" i="1"/>
  <c r="P279" i="1" s="1"/>
  <c r="N279" i="1"/>
  <c r="R278" i="1"/>
  <c r="O278" i="1"/>
  <c r="P278" i="1" s="1"/>
  <c r="N278" i="1"/>
  <c r="R277" i="1"/>
  <c r="Q277" i="1"/>
  <c r="O277" i="1"/>
  <c r="P277" i="1" s="1"/>
  <c r="N277" i="1"/>
  <c r="R276" i="1"/>
  <c r="Q276" i="1"/>
  <c r="O276" i="1"/>
  <c r="P276" i="1" s="1"/>
  <c r="N276" i="1"/>
  <c r="R275" i="1"/>
  <c r="O275" i="1"/>
  <c r="Q275" i="1" s="1"/>
  <c r="N275" i="1"/>
  <c r="R274" i="1"/>
  <c r="O274" i="1"/>
  <c r="N274" i="1"/>
  <c r="R273" i="1"/>
  <c r="P273" i="1"/>
  <c r="O273" i="1"/>
  <c r="Q273" i="1" s="1"/>
  <c r="N273" i="1"/>
  <c r="R272" i="1"/>
  <c r="O272" i="1"/>
  <c r="Q272" i="1" s="1"/>
  <c r="N272" i="1"/>
  <c r="R271" i="1"/>
  <c r="Q271" i="1"/>
  <c r="P271" i="1"/>
  <c r="O271" i="1"/>
  <c r="N271" i="1"/>
  <c r="R270" i="1"/>
  <c r="Q270" i="1"/>
  <c r="O270" i="1"/>
  <c r="P270" i="1" s="1"/>
  <c r="N270" i="1"/>
  <c r="R269" i="1"/>
  <c r="O269" i="1"/>
  <c r="Q269" i="1" s="1"/>
  <c r="N269" i="1"/>
  <c r="R268" i="1"/>
  <c r="P268" i="1"/>
  <c r="O268" i="1"/>
  <c r="Q268" i="1" s="1"/>
  <c r="N268" i="1"/>
  <c r="R267" i="1"/>
  <c r="O267" i="1"/>
  <c r="P267" i="1" s="1"/>
  <c r="N267" i="1"/>
  <c r="R266" i="1"/>
  <c r="O266" i="1"/>
  <c r="P266" i="1" s="1"/>
  <c r="N266" i="1"/>
  <c r="R265" i="1"/>
  <c r="O265" i="1"/>
  <c r="N265" i="1"/>
  <c r="R264" i="1"/>
  <c r="Q264" i="1"/>
  <c r="P264" i="1"/>
  <c r="O264" i="1"/>
  <c r="N264" i="1"/>
  <c r="R263" i="1"/>
  <c r="O263" i="1"/>
  <c r="Q263" i="1" s="1"/>
  <c r="N263" i="1"/>
  <c r="R262" i="1"/>
  <c r="O262" i="1"/>
  <c r="Q262" i="1" s="1"/>
  <c r="N262" i="1"/>
  <c r="R261" i="1"/>
  <c r="Q261" i="1"/>
  <c r="P261" i="1"/>
  <c r="O261" i="1"/>
  <c r="N261" i="1"/>
  <c r="R260" i="1"/>
  <c r="O260" i="1"/>
  <c r="N260" i="1"/>
  <c r="R259" i="1"/>
  <c r="Q259" i="1"/>
  <c r="P259" i="1"/>
  <c r="O259" i="1"/>
  <c r="N259" i="1"/>
  <c r="R258" i="1"/>
  <c r="O258" i="1"/>
  <c r="Q258" i="1" s="1"/>
  <c r="N258" i="1"/>
  <c r="R257" i="1"/>
  <c r="Q257" i="1"/>
  <c r="P257" i="1"/>
  <c r="O257" i="1"/>
  <c r="N257" i="1"/>
  <c r="R256" i="1"/>
  <c r="O256" i="1"/>
  <c r="N256" i="1"/>
  <c r="R255" i="1"/>
  <c r="Q255" i="1"/>
  <c r="P255" i="1"/>
  <c r="O255" i="1"/>
  <c r="N255" i="1"/>
  <c r="R254" i="1"/>
  <c r="O254" i="1"/>
  <c r="Q254" i="1" s="1"/>
  <c r="N254" i="1"/>
  <c r="R253" i="1"/>
  <c r="O253" i="1"/>
  <c r="Q253" i="1" s="1"/>
  <c r="N253" i="1"/>
  <c r="R252" i="1"/>
  <c r="P252" i="1"/>
  <c r="O252" i="1"/>
  <c r="Q252" i="1" s="1"/>
  <c r="N252" i="1"/>
  <c r="R251" i="1"/>
  <c r="O251" i="1"/>
  <c r="P251" i="1" s="1"/>
  <c r="N251" i="1"/>
  <c r="R250" i="1"/>
  <c r="O250" i="1"/>
  <c r="Q250" i="1" s="1"/>
  <c r="N250" i="1"/>
  <c r="R249" i="1"/>
  <c r="P249" i="1"/>
  <c r="O249" i="1"/>
  <c r="Q249" i="1" s="1"/>
  <c r="N249" i="1"/>
  <c r="R248" i="1"/>
  <c r="O248" i="1"/>
  <c r="P248" i="1" s="1"/>
  <c r="N248" i="1"/>
  <c r="R247" i="1"/>
  <c r="Q247" i="1"/>
  <c r="O247" i="1"/>
  <c r="P247" i="1" s="1"/>
  <c r="N247" i="1"/>
  <c r="R246" i="1"/>
  <c r="Q246" i="1"/>
  <c r="O246" i="1"/>
  <c r="P246" i="1" s="1"/>
  <c r="N246" i="1"/>
  <c r="R245" i="1"/>
  <c r="Q245" i="1"/>
  <c r="P245" i="1"/>
  <c r="O245" i="1"/>
  <c r="N245" i="1"/>
  <c r="R244" i="1"/>
  <c r="O244" i="1"/>
  <c r="Q244" i="1" s="1"/>
  <c r="N244" i="1"/>
  <c r="R243" i="1"/>
  <c r="Q243" i="1"/>
  <c r="P243" i="1"/>
  <c r="O243" i="1"/>
  <c r="N243" i="1"/>
  <c r="R242" i="1"/>
  <c r="Q242" i="1"/>
  <c r="P242" i="1"/>
  <c r="O242" i="1"/>
  <c r="N242" i="1"/>
  <c r="R241" i="1"/>
  <c r="Q241" i="1"/>
  <c r="P241" i="1"/>
  <c r="O241" i="1"/>
  <c r="N241" i="1"/>
  <c r="R240" i="1"/>
  <c r="P240" i="1"/>
  <c r="O240" i="1"/>
  <c r="Q240" i="1" s="1"/>
  <c r="N240" i="1"/>
  <c r="R239" i="1"/>
  <c r="P239" i="1"/>
  <c r="O239" i="1"/>
  <c r="Q239" i="1" s="1"/>
  <c r="N239" i="1"/>
  <c r="R238" i="1"/>
  <c r="P238" i="1"/>
  <c r="O238" i="1"/>
  <c r="Q238" i="1" s="1"/>
  <c r="N238" i="1"/>
  <c r="R237" i="1"/>
  <c r="P237" i="1"/>
  <c r="O237" i="1"/>
  <c r="Q237" i="1" s="1"/>
  <c r="N237" i="1"/>
  <c r="R236" i="1"/>
  <c r="P236" i="1"/>
  <c r="O236" i="1"/>
  <c r="Q236" i="1" s="1"/>
  <c r="N236" i="1"/>
  <c r="R235" i="1"/>
  <c r="O235" i="1"/>
  <c r="Q235" i="1" s="1"/>
  <c r="N235" i="1"/>
  <c r="R234" i="1"/>
  <c r="Q234" i="1"/>
  <c r="O234" i="1"/>
  <c r="P234" i="1" s="1"/>
  <c r="N234" i="1"/>
  <c r="R233" i="1"/>
  <c r="O233" i="1"/>
  <c r="P233" i="1" s="1"/>
  <c r="N233" i="1"/>
  <c r="R232" i="1"/>
  <c r="Q232" i="1"/>
  <c r="P232" i="1"/>
  <c r="O232" i="1"/>
  <c r="N232" i="1"/>
  <c r="R231" i="1"/>
  <c r="Q231" i="1"/>
  <c r="P231" i="1"/>
  <c r="O231" i="1"/>
  <c r="N231" i="1"/>
  <c r="R230" i="1"/>
  <c r="Q230" i="1"/>
  <c r="P230" i="1"/>
  <c r="O230" i="1"/>
  <c r="N230" i="1"/>
  <c r="R229" i="1"/>
  <c r="O229" i="1"/>
  <c r="N229" i="1"/>
  <c r="R228" i="1"/>
  <c r="O228" i="1"/>
  <c r="Q228" i="1" s="1"/>
  <c r="N228" i="1"/>
  <c r="R227" i="1"/>
  <c r="P227" i="1"/>
  <c r="O227" i="1"/>
  <c r="Q227" i="1" s="1"/>
  <c r="N227" i="1"/>
  <c r="R226" i="1"/>
  <c r="O226" i="1"/>
  <c r="P226" i="1" s="1"/>
  <c r="N226" i="1"/>
  <c r="R225" i="1"/>
  <c r="P225" i="1"/>
  <c r="O225" i="1"/>
  <c r="Q225" i="1" s="1"/>
  <c r="N225" i="1"/>
  <c r="R224" i="1"/>
  <c r="Q224" i="1"/>
  <c r="P224" i="1"/>
  <c r="O224" i="1"/>
  <c r="N224" i="1"/>
  <c r="R223" i="1"/>
  <c r="O223" i="1"/>
  <c r="Q223" i="1" s="1"/>
  <c r="N223" i="1"/>
  <c r="R222" i="1"/>
  <c r="P222" i="1"/>
  <c r="O222" i="1"/>
  <c r="Q222" i="1" s="1"/>
  <c r="N222" i="1"/>
  <c r="R221" i="1"/>
  <c r="Q221" i="1"/>
  <c r="O221" i="1"/>
  <c r="P221" i="1" s="1"/>
  <c r="N221" i="1"/>
  <c r="R220" i="1"/>
  <c r="O220" i="1"/>
  <c r="Q220" i="1" s="1"/>
  <c r="N220" i="1"/>
  <c r="R219" i="1"/>
  <c r="O219" i="1"/>
  <c r="P219" i="1" s="1"/>
  <c r="N219" i="1"/>
  <c r="R218" i="1"/>
  <c r="O218" i="1"/>
  <c r="N218" i="1"/>
  <c r="R217" i="1"/>
  <c r="Q217" i="1"/>
  <c r="O217" i="1"/>
  <c r="P217" i="1" s="1"/>
  <c r="N217" i="1"/>
  <c r="R216" i="1"/>
  <c r="O216" i="1"/>
  <c r="Q216" i="1" s="1"/>
  <c r="N216" i="1"/>
  <c r="R215" i="1"/>
  <c r="O215" i="1"/>
  <c r="Q215" i="1" s="1"/>
  <c r="N215" i="1"/>
  <c r="R214" i="1"/>
  <c r="P214" i="1"/>
  <c r="O214" i="1"/>
  <c r="Q214" i="1" s="1"/>
  <c r="N214" i="1"/>
  <c r="R213" i="1"/>
  <c r="Q213" i="1"/>
  <c r="P213" i="1"/>
  <c r="O213" i="1"/>
  <c r="N213" i="1"/>
  <c r="R212" i="1"/>
  <c r="P212" i="1"/>
  <c r="O212" i="1"/>
  <c r="Q212" i="1" s="1"/>
  <c r="N212" i="1"/>
  <c r="R211" i="1"/>
  <c r="O211" i="1"/>
  <c r="Q211" i="1" s="1"/>
  <c r="N211" i="1"/>
  <c r="R210" i="1"/>
  <c r="O210" i="1"/>
  <c r="Q210" i="1" s="1"/>
  <c r="N210" i="1"/>
  <c r="R209" i="1"/>
  <c r="O209" i="1"/>
  <c r="Q209" i="1" s="1"/>
  <c r="N209" i="1"/>
  <c r="R208" i="1"/>
  <c r="Q208" i="1"/>
  <c r="P208" i="1"/>
  <c r="O208" i="1"/>
  <c r="N208" i="1"/>
  <c r="R207" i="1"/>
  <c r="O207" i="1"/>
  <c r="P207" i="1" s="1"/>
  <c r="N207" i="1"/>
  <c r="R206" i="1"/>
  <c r="O206" i="1"/>
  <c r="N206" i="1"/>
  <c r="R205" i="1"/>
  <c r="Q205" i="1"/>
  <c r="P205" i="1"/>
  <c r="O205" i="1"/>
  <c r="N205" i="1"/>
  <c r="R204" i="1"/>
  <c r="O204" i="1"/>
  <c r="Q204" i="1" s="1"/>
  <c r="N204" i="1"/>
  <c r="R203" i="1"/>
  <c r="O203" i="1"/>
  <c r="N203" i="1"/>
  <c r="R202" i="1"/>
  <c r="Q202" i="1"/>
  <c r="P202" i="1"/>
  <c r="O202" i="1"/>
  <c r="N202" i="1"/>
  <c r="R201" i="1"/>
  <c r="P201" i="1"/>
  <c r="O201" i="1"/>
  <c r="Q201" i="1" s="1"/>
  <c r="N201" i="1"/>
  <c r="R200" i="1"/>
  <c r="P200" i="1"/>
  <c r="O200" i="1"/>
  <c r="Q200" i="1" s="1"/>
  <c r="N200" i="1"/>
  <c r="R199" i="1"/>
  <c r="P199" i="1"/>
  <c r="O199" i="1"/>
  <c r="Q199" i="1" s="1"/>
  <c r="N199" i="1"/>
  <c r="R198" i="1"/>
  <c r="O198" i="1"/>
  <c r="Q198" i="1" s="1"/>
  <c r="N198" i="1"/>
  <c r="R197" i="1"/>
  <c r="Q197" i="1"/>
  <c r="O197" i="1"/>
  <c r="P197" i="1" s="1"/>
  <c r="N197" i="1"/>
  <c r="R196" i="1"/>
  <c r="O196" i="1"/>
  <c r="Q196" i="1" s="1"/>
  <c r="N196" i="1"/>
  <c r="R195" i="1"/>
  <c r="P195" i="1"/>
  <c r="O195" i="1"/>
  <c r="Q195" i="1" s="1"/>
  <c r="N195" i="1"/>
  <c r="R194" i="1"/>
  <c r="O194" i="1"/>
  <c r="Q194" i="1" s="1"/>
  <c r="N194" i="1"/>
  <c r="R193" i="1"/>
  <c r="Q193" i="1"/>
  <c r="O193" i="1"/>
  <c r="P193" i="1" s="1"/>
  <c r="N193" i="1"/>
  <c r="R192" i="1"/>
  <c r="Q192" i="1"/>
  <c r="O192" i="1"/>
  <c r="P192" i="1" s="1"/>
  <c r="N192" i="1"/>
  <c r="R191" i="1"/>
  <c r="O191" i="1"/>
  <c r="P191" i="1" s="1"/>
  <c r="N191" i="1"/>
  <c r="R190" i="1"/>
  <c r="P190" i="1"/>
  <c r="O190" i="1"/>
  <c r="Q190" i="1" s="1"/>
  <c r="N190" i="1"/>
  <c r="R189" i="1"/>
  <c r="O189" i="1"/>
  <c r="P189" i="1" s="1"/>
  <c r="N189" i="1"/>
  <c r="R188" i="1"/>
  <c r="P188" i="1"/>
  <c r="O188" i="1"/>
  <c r="Q188" i="1" s="1"/>
  <c r="N188" i="1"/>
  <c r="R187" i="1"/>
  <c r="O187" i="1"/>
  <c r="N187" i="1"/>
  <c r="R186" i="1"/>
  <c r="O186" i="1"/>
  <c r="P186" i="1" s="1"/>
  <c r="N186" i="1"/>
  <c r="R185" i="1"/>
  <c r="Q185" i="1"/>
  <c r="P185" i="1"/>
  <c r="O185" i="1"/>
  <c r="N185" i="1"/>
  <c r="R184" i="1"/>
  <c r="Q184" i="1"/>
  <c r="P184" i="1"/>
  <c r="O184" i="1"/>
  <c r="N184" i="1"/>
  <c r="R183" i="1"/>
  <c r="O183" i="1"/>
  <c r="Q183" i="1" s="1"/>
  <c r="N183" i="1"/>
  <c r="R182" i="1"/>
  <c r="Q182" i="1"/>
  <c r="O182" i="1"/>
  <c r="P182" i="1" s="1"/>
  <c r="N182" i="1"/>
  <c r="R181" i="1"/>
  <c r="Q181" i="1"/>
  <c r="O181" i="1"/>
  <c r="P181" i="1" s="1"/>
  <c r="N181" i="1"/>
  <c r="R180" i="1"/>
  <c r="Q180" i="1"/>
  <c r="P180" i="1"/>
  <c r="O180" i="1"/>
  <c r="N180" i="1"/>
  <c r="R179" i="1"/>
  <c r="O179" i="1"/>
  <c r="P179" i="1" s="1"/>
  <c r="N179" i="1"/>
  <c r="R178" i="1"/>
  <c r="O178" i="1"/>
  <c r="Q178" i="1" s="1"/>
  <c r="N178" i="1"/>
  <c r="R177" i="1"/>
  <c r="O177" i="1"/>
  <c r="N177" i="1"/>
  <c r="R176" i="1"/>
  <c r="Q176" i="1"/>
  <c r="P176" i="1"/>
  <c r="O176" i="1"/>
  <c r="N176" i="1"/>
  <c r="R175" i="1"/>
  <c r="O175" i="1"/>
  <c r="N175" i="1"/>
  <c r="R174" i="1"/>
  <c r="O174" i="1"/>
  <c r="N174" i="1"/>
  <c r="R173" i="1"/>
  <c r="Q173" i="1"/>
  <c r="P173" i="1"/>
  <c r="O173" i="1"/>
  <c r="N173" i="1"/>
  <c r="R172" i="1"/>
  <c r="P172" i="1"/>
  <c r="O172" i="1"/>
  <c r="Q172" i="1" s="1"/>
  <c r="N172" i="1"/>
  <c r="R171" i="1"/>
  <c r="O171" i="1"/>
  <c r="Q171" i="1" s="1"/>
  <c r="N171" i="1"/>
  <c r="R170" i="1"/>
  <c r="O170" i="1"/>
  <c r="Q170" i="1" s="1"/>
  <c r="N170" i="1"/>
  <c r="R169" i="1"/>
  <c r="O169" i="1"/>
  <c r="Q169" i="1" s="1"/>
  <c r="N169" i="1"/>
  <c r="R168" i="1"/>
  <c r="O168" i="1"/>
  <c r="N168" i="1"/>
  <c r="R167" i="1"/>
  <c r="O167" i="1"/>
  <c r="Q167" i="1" s="1"/>
  <c r="N167" i="1"/>
  <c r="R166" i="1"/>
  <c r="P166" i="1"/>
  <c r="O166" i="1"/>
  <c r="Q166" i="1" s="1"/>
  <c r="N166" i="1"/>
  <c r="R165" i="1"/>
  <c r="O165" i="1"/>
  <c r="Q165" i="1" s="1"/>
  <c r="N165" i="1"/>
  <c r="R164" i="1"/>
  <c r="O164" i="1"/>
  <c r="P164" i="1" s="1"/>
  <c r="N164" i="1"/>
  <c r="R163" i="1"/>
  <c r="O163" i="1"/>
  <c r="Q163" i="1" s="1"/>
  <c r="N163" i="1"/>
  <c r="R162" i="1"/>
  <c r="P162" i="1"/>
  <c r="O162" i="1"/>
  <c r="Q162" i="1" s="1"/>
  <c r="N162" i="1"/>
  <c r="R161" i="1"/>
  <c r="Q161" i="1"/>
  <c r="O161" i="1"/>
  <c r="P161" i="1" s="1"/>
  <c r="N161" i="1"/>
  <c r="R160" i="1"/>
  <c r="O160" i="1"/>
  <c r="P160" i="1" s="1"/>
  <c r="N160" i="1"/>
  <c r="R159" i="1"/>
  <c r="O159" i="1"/>
  <c r="P159" i="1" s="1"/>
  <c r="N159" i="1"/>
  <c r="R158" i="1"/>
  <c r="P158" i="1"/>
  <c r="O158" i="1"/>
  <c r="Q158" i="1" s="1"/>
  <c r="N158" i="1"/>
  <c r="R157" i="1"/>
  <c r="O157" i="1"/>
  <c r="P157" i="1" s="1"/>
  <c r="N157" i="1"/>
  <c r="R156" i="1"/>
  <c r="O156" i="1"/>
  <c r="N156" i="1"/>
  <c r="R155" i="1"/>
  <c r="Q155" i="1"/>
  <c r="P155" i="1"/>
  <c r="O155" i="1"/>
  <c r="N155" i="1"/>
  <c r="R154" i="1"/>
  <c r="Q154" i="1"/>
  <c r="O154" i="1"/>
  <c r="P154" i="1" s="1"/>
  <c r="N154" i="1"/>
  <c r="R153" i="1"/>
  <c r="Q153" i="1"/>
  <c r="P153" i="1"/>
  <c r="O153" i="1"/>
  <c r="N153" i="1"/>
  <c r="R152" i="1"/>
  <c r="Q152" i="1"/>
  <c r="P152" i="1"/>
  <c r="O152" i="1"/>
  <c r="N152" i="1"/>
  <c r="R151" i="1"/>
  <c r="P151" i="1"/>
  <c r="O151" i="1"/>
  <c r="Q151" i="1" s="1"/>
  <c r="N151" i="1"/>
  <c r="R150" i="1"/>
  <c r="Q150" i="1"/>
  <c r="P150" i="1"/>
  <c r="O150" i="1"/>
  <c r="N150" i="1"/>
  <c r="R149" i="1"/>
  <c r="O149" i="1"/>
  <c r="Q149" i="1" s="1"/>
  <c r="N149" i="1"/>
  <c r="R148" i="1"/>
  <c r="Q148" i="1"/>
  <c r="P148" i="1"/>
  <c r="O148" i="1"/>
  <c r="N148" i="1"/>
  <c r="R147" i="1"/>
  <c r="O147" i="1"/>
  <c r="Q147" i="1" s="1"/>
  <c r="N147" i="1"/>
  <c r="R146" i="1"/>
  <c r="O146" i="1"/>
  <c r="Q146" i="1" s="1"/>
  <c r="N146" i="1"/>
  <c r="R145" i="1"/>
  <c r="O145" i="1"/>
  <c r="N145" i="1"/>
  <c r="R144" i="1"/>
  <c r="O144" i="1"/>
  <c r="Q144" i="1" s="1"/>
  <c r="N144" i="1"/>
  <c r="R143" i="1"/>
  <c r="P143" i="1"/>
  <c r="O143" i="1"/>
  <c r="Q143" i="1" s="1"/>
  <c r="N143" i="1"/>
  <c r="R142" i="1"/>
  <c r="O142" i="1"/>
  <c r="Q142" i="1" s="1"/>
  <c r="N142" i="1"/>
  <c r="R141" i="1"/>
  <c r="Q141" i="1"/>
  <c r="O141" i="1"/>
  <c r="P141" i="1" s="1"/>
  <c r="N141" i="1"/>
  <c r="R140" i="1"/>
  <c r="O140" i="1"/>
  <c r="Q140" i="1" s="1"/>
  <c r="N140" i="1"/>
  <c r="R139" i="1"/>
  <c r="P139" i="1"/>
  <c r="O139" i="1"/>
  <c r="Q139" i="1" s="1"/>
  <c r="N139" i="1"/>
  <c r="R138" i="1"/>
  <c r="O138" i="1"/>
  <c r="N138" i="1"/>
  <c r="R137" i="1"/>
  <c r="O137" i="1"/>
  <c r="N137" i="1"/>
  <c r="R136" i="1"/>
  <c r="Q136" i="1"/>
  <c r="P136" i="1"/>
  <c r="O136" i="1"/>
  <c r="N136" i="1"/>
  <c r="R135" i="1"/>
  <c r="Q135" i="1"/>
  <c r="O135" i="1"/>
  <c r="P135" i="1" s="1"/>
  <c r="N135" i="1"/>
  <c r="R134" i="1"/>
  <c r="O134" i="1"/>
  <c r="N134" i="1"/>
  <c r="R133" i="1"/>
  <c r="Q133" i="1"/>
  <c r="P133" i="1"/>
  <c r="O133" i="1"/>
  <c r="N133" i="1"/>
  <c r="R132" i="1"/>
  <c r="O132" i="1"/>
  <c r="Q132" i="1" s="1"/>
  <c r="N132" i="1"/>
  <c r="R131" i="1"/>
  <c r="P131" i="1"/>
  <c r="O131" i="1"/>
  <c r="Q131" i="1" s="1"/>
  <c r="N131" i="1"/>
  <c r="R130" i="1"/>
  <c r="Q130" i="1"/>
  <c r="P130" i="1"/>
  <c r="O130" i="1"/>
  <c r="N130" i="1"/>
  <c r="R129" i="1"/>
  <c r="O129" i="1"/>
  <c r="Q129" i="1" s="1"/>
  <c r="N129" i="1"/>
  <c r="R128" i="1"/>
  <c r="O128" i="1"/>
  <c r="Q128" i="1" s="1"/>
  <c r="N128" i="1"/>
  <c r="R127" i="1"/>
  <c r="O127" i="1"/>
  <c r="Q127" i="1" s="1"/>
  <c r="N127" i="1"/>
  <c r="R126" i="1"/>
  <c r="P126" i="1"/>
  <c r="O126" i="1"/>
  <c r="Q126" i="1" s="1"/>
  <c r="N126" i="1"/>
  <c r="R125" i="1"/>
  <c r="O125" i="1"/>
  <c r="Q125" i="1" s="1"/>
  <c r="N125" i="1"/>
  <c r="R124" i="1"/>
  <c r="O124" i="1"/>
  <c r="P124" i="1" s="1"/>
  <c r="N124" i="1"/>
  <c r="R123" i="1"/>
  <c r="O123" i="1"/>
  <c r="Q123" i="1" s="1"/>
  <c r="N123" i="1"/>
  <c r="R122" i="1"/>
  <c r="P122" i="1"/>
  <c r="O122" i="1"/>
  <c r="Q122" i="1" s="1"/>
  <c r="N122" i="1"/>
  <c r="R121" i="1"/>
  <c r="O121" i="1"/>
  <c r="Q121" i="1" s="1"/>
  <c r="N121" i="1"/>
  <c r="R120" i="1"/>
  <c r="O120" i="1"/>
  <c r="P120" i="1" s="1"/>
  <c r="N120" i="1"/>
  <c r="R119" i="1"/>
  <c r="Q119" i="1"/>
  <c r="O119" i="1"/>
  <c r="P119" i="1" s="1"/>
  <c r="N119" i="1"/>
  <c r="R118" i="1"/>
  <c r="P118" i="1"/>
  <c r="O118" i="1"/>
  <c r="Q118" i="1" s="1"/>
  <c r="N118" i="1"/>
  <c r="R117" i="1"/>
  <c r="O117" i="1"/>
  <c r="Q117" i="1" s="1"/>
  <c r="N117" i="1"/>
  <c r="R116" i="1"/>
  <c r="O116" i="1"/>
  <c r="N116" i="1"/>
  <c r="R115" i="1"/>
  <c r="P115" i="1"/>
  <c r="O115" i="1"/>
  <c r="Q115" i="1" s="1"/>
  <c r="N115" i="1"/>
  <c r="R114" i="1"/>
  <c r="Q114" i="1"/>
  <c r="O114" i="1"/>
  <c r="P114" i="1" s="1"/>
  <c r="N114" i="1"/>
  <c r="R113" i="1"/>
  <c r="O113" i="1"/>
  <c r="N113" i="1"/>
  <c r="R112" i="1"/>
  <c r="Q112" i="1"/>
  <c r="P112" i="1"/>
  <c r="O112" i="1"/>
  <c r="N112" i="1"/>
  <c r="R111" i="1"/>
  <c r="O111" i="1"/>
  <c r="N111" i="1"/>
  <c r="R110" i="1"/>
  <c r="Q110" i="1"/>
  <c r="P110" i="1"/>
  <c r="O110" i="1"/>
  <c r="N110" i="1"/>
  <c r="R109" i="1"/>
  <c r="O109" i="1"/>
  <c r="Q109" i="1" s="1"/>
  <c r="N109" i="1"/>
  <c r="R108" i="1"/>
  <c r="O108" i="1"/>
  <c r="P108" i="1" s="1"/>
  <c r="N108" i="1"/>
  <c r="R107" i="1"/>
  <c r="O107" i="1"/>
  <c r="Q107" i="1" s="1"/>
  <c r="N107" i="1"/>
  <c r="R106" i="1"/>
  <c r="O106" i="1"/>
  <c r="Q106" i="1" s="1"/>
  <c r="N106" i="1"/>
  <c r="R105" i="1"/>
  <c r="O105" i="1"/>
  <c r="N105" i="1"/>
  <c r="R104" i="1"/>
  <c r="P104" i="1"/>
  <c r="O104" i="1"/>
  <c r="Q104" i="1" s="1"/>
  <c r="N104" i="1"/>
  <c r="R103" i="1"/>
  <c r="P103" i="1"/>
  <c r="O103" i="1"/>
  <c r="Q103" i="1" s="1"/>
  <c r="N103" i="1"/>
  <c r="R102" i="1"/>
  <c r="O102" i="1"/>
  <c r="Q102" i="1" s="1"/>
  <c r="N102" i="1"/>
  <c r="R101" i="1"/>
  <c r="Q101" i="1"/>
  <c r="O101" i="1"/>
  <c r="P101" i="1" s="1"/>
  <c r="N101" i="1"/>
  <c r="R100" i="1"/>
  <c r="O100" i="1"/>
  <c r="Q100" i="1" s="1"/>
  <c r="N100" i="1"/>
  <c r="R99" i="1"/>
  <c r="P99" i="1"/>
  <c r="O99" i="1"/>
  <c r="Q99" i="1" s="1"/>
  <c r="N99" i="1"/>
  <c r="R98" i="1"/>
  <c r="O98" i="1"/>
  <c r="Q98" i="1" s="1"/>
  <c r="N98" i="1"/>
  <c r="R97" i="1"/>
  <c r="O97" i="1"/>
  <c r="N97" i="1"/>
  <c r="R96" i="1"/>
  <c r="P96" i="1"/>
  <c r="O96" i="1"/>
  <c r="Q96" i="1" s="1"/>
  <c r="N96" i="1"/>
  <c r="R95" i="1"/>
  <c r="Q95" i="1"/>
  <c r="O95" i="1"/>
  <c r="P95" i="1" s="1"/>
  <c r="N95" i="1"/>
  <c r="R94" i="1"/>
  <c r="O94" i="1"/>
  <c r="N94" i="1"/>
  <c r="R93" i="1"/>
  <c r="Q93" i="1"/>
  <c r="P93" i="1"/>
  <c r="O93" i="1"/>
  <c r="N93" i="1"/>
  <c r="R92" i="1"/>
  <c r="O92" i="1"/>
  <c r="Q92" i="1" s="1"/>
  <c r="N92" i="1"/>
  <c r="R91" i="1"/>
  <c r="P91" i="1"/>
  <c r="O91" i="1"/>
  <c r="Q91" i="1" s="1"/>
  <c r="N91" i="1"/>
  <c r="R90" i="1"/>
  <c r="Q90" i="1"/>
  <c r="P90" i="1"/>
  <c r="O90" i="1"/>
  <c r="N90" i="1"/>
  <c r="R89" i="1"/>
  <c r="O89" i="1"/>
  <c r="Q89" i="1" s="1"/>
  <c r="N89" i="1"/>
  <c r="R88" i="1"/>
  <c r="O88" i="1"/>
  <c r="Q88" i="1" s="1"/>
  <c r="N88" i="1"/>
  <c r="R87" i="1"/>
  <c r="P87" i="1"/>
  <c r="O87" i="1"/>
  <c r="Q87" i="1" s="1"/>
  <c r="N87" i="1"/>
  <c r="R86" i="1"/>
  <c r="O86" i="1"/>
  <c r="Q86" i="1" s="1"/>
  <c r="N86" i="1"/>
  <c r="R85" i="1"/>
  <c r="O85" i="1"/>
  <c r="N85" i="1"/>
  <c r="R84" i="1"/>
  <c r="O84" i="1"/>
  <c r="N84" i="1"/>
  <c r="R83" i="1"/>
  <c r="O83" i="1"/>
  <c r="Q83" i="1" s="1"/>
  <c r="N83" i="1"/>
  <c r="R82" i="1"/>
  <c r="O82" i="1"/>
  <c r="P82" i="1" s="1"/>
  <c r="N82" i="1"/>
  <c r="R81" i="1"/>
  <c r="P81" i="1"/>
  <c r="O81" i="1"/>
  <c r="Q81" i="1" s="1"/>
  <c r="N81" i="1"/>
  <c r="R80" i="1"/>
  <c r="O80" i="1"/>
  <c r="P80" i="1" s="1"/>
  <c r="N80" i="1"/>
  <c r="R79" i="1"/>
  <c r="O79" i="1"/>
  <c r="P79" i="1" s="1"/>
  <c r="N79" i="1"/>
  <c r="R78" i="1"/>
  <c r="Q78" i="1"/>
  <c r="O78" i="1"/>
  <c r="P78" i="1" s="1"/>
  <c r="N78" i="1"/>
  <c r="R77" i="1"/>
  <c r="O77" i="1"/>
  <c r="Q77" i="1" s="1"/>
  <c r="N77" i="1"/>
  <c r="R76" i="1"/>
  <c r="O76" i="1"/>
  <c r="P76" i="1" s="1"/>
  <c r="N76" i="1"/>
  <c r="R75" i="1"/>
  <c r="P75" i="1"/>
  <c r="O75" i="1"/>
  <c r="Q75" i="1" s="1"/>
  <c r="N75" i="1"/>
  <c r="R74" i="1"/>
  <c r="O74" i="1"/>
  <c r="P74" i="1" s="1"/>
  <c r="N74" i="1"/>
  <c r="R73" i="1"/>
  <c r="Q73" i="1"/>
  <c r="P73" i="1"/>
  <c r="O73" i="1"/>
  <c r="N73" i="1"/>
  <c r="R72" i="1"/>
  <c r="O72" i="1"/>
  <c r="P72" i="1" s="1"/>
  <c r="N72" i="1"/>
  <c r="R71" i="1"/>
  <c r="O71" i="1"/>
  <c r="Q71" i="1" s="1"/>
  <c r="N71" i="1"/>
  <c r="R70" i="1"/>
  <c r="Q70" i="1"/>
  <c r="O70" i="1"/>
  <c r="P70" i="1" s="1"/>
  <c r="N70" i="1"/>
  <c r="R69" i="1"/>
  <c r="O69" i="1"/>
  <c r="N69" i="1"/>
  <c r="R68" i="1"/>
  <c r="Q68" i="1"/>
  <c r="O68" i="1"/>
  <c r="P68" i="1" s="1"/>
  <c r="N68" i="1"/>
  <c r="R67" i="1"/>
  <c r="O67" i="1"/>
  <c r="P67" i="1" s="1"/>
  <c r="N67" i="1"/>
  <c r="R66" i="1"/>
  <c r="Q66" i="1"/>
  <c r="O66" i="1"/>
  <c r="P66" i="1" s="1"/>
  <c r="N66" i="1"/>
  <c r="R65" i="1"/>
  <c r="O65" i="1"/>
  <c r="Q65" i="1" s="1"/>
  <c r="N65" i="1"/>
  <c r="R64" i="1"/>
  <c r="O64" i="1"/>
  <c r="P64" i="1" s="1"/>
  <c r="N64" i="1"/>
  <c r="R63" i="1"/>
  <c r="O63" i="1"/>
  <c r="N63" i="1"/>
  <c r="R62" i="1"/>
  <c r="O62" i="1"/>
  <c r="P62" i="1" s="1"/>
  <c r="N62" i="1"/>
  <c r="R61" i="1"/>
  <c r="O61" i="1"/>
  <c r="Q61" i="1" s="1"/>
  <c r="N61" i="1"/>
  <c r="R60" i="1"/>
  <c r="O60" i="1"/>
  <c r="P60" i="1" s="1"/>
  <c r="N60" i="1"/>
  <c r="R59" i="1"/>
  <c r="O59" i="1"/>
  <c r="Q59" i="1" s="1"/>
  <c r="N59" i="1"/>
  <c r="R58" i="1"/>
  <c r="O58" i="1"/>
  <c r="P58" i="1" s="1"/>
  <c r="N58" i="1"/>
  <c r="R57" i="1"/>
  <c r="O57" i="1"/>
  <c r="Q57" i="1" s="1"/>
  <c r="N57" i="1"/>
  <c r="R56" i="1"/>
  <c r="Q56" i="1"/>
  <c r="O56" i="1"/>
  <c r="P56" i="1" s="1"/>
  <c r="N56" i="1"/>
  <c r="R55" i="1"/>
  <c r="O55" i="1"/>
  <c r="Q55" i="1" s="1"/>
  <c r="N55" i="1"/>
  <c r="R54" i="1"/>
  <c r="Q54" i="1"/>
  <c r="O54" i="1"/>
  <c r="P54" i="1" s="1"/>
  <c r="N54" i="1"/>
  <c r="R53" i="1"/>
  <c r="O53" i="1"/>
  <c r="P53" i="1" s="1"/>
  <c r="N53" i="1"/>
  <c r="R52" i="1"/>
  <c r="O52" i="1"/>
  <c r="P52" i="1" s="1"/>
  <c r="N52" i="1"/>
  <c r="R51" i="1"/>
  <c r="O51" i="1"/>
  <c r="P51" i="1" s="1"/>
  <c r="N51" i="1"/>
  <c r="R50" i="1"/>
  <c r="O50" i="1"/>
  <c r="P50" i="1" s="1"/>
  <c r="N50" i="1"/>
  <c r="R49" i="1"/>
  <c r="Q49" i="1"/>
  <c r="P49" i="1"/>
  <c r="O49" i="1"/>
  <c r="N49" i="1"/>
  <c r="R48" i="1"/>
  <c r="O48" i="1"/>
  <c r="P48" i="1" s="1"/>
  <c r="N48" i="1"/>
  <c r="R47" i="1"/>
  <c r="Q47" i="1"/>
  <c r="P47" i="1"/>
  <c r="O47" i="1"/>
  <c r="N47" i="1"/>
  <c r="R46" i="1"/>
  <c r="O46" i="1"/>
  <c r="P46" i="1" s="1"/>
  <c r="N46" i="1"/>
  <c r="R45" i="1"/>
  <c r="O45" i="1"/>
  <c r="Q45" i="1" s="1"/>
  <c r="N45" i="1"/>
  <c r="R44" i="1"/>
  <c r="O44" i="1"/>
  <c r="N44" i="1"/>
  <c r="R43" i="1"/>
  <c r="Q43" i="1"/>
  <c r="P43" i="1"/>
  <c r="O43" i="1"/>
  <c r="N43" i="1"/>
  <c r="R42" i="1"/>
  <c r="O42" i="1"/>
  <c r="P42" i="1" s="1"/>
  <c r="N42" i="1"/>
  <c r="R41" i="1"/>
  <c r="O41" i="1"/>
  <c r="N41" i="1"/>
  <c r="R40" i="1"/>
  <c r="O40" i="1"/>
  <c r="P40" i="1" s="1"/>
  <c r="N40" i="1"/>
  <c r="R39" i="1"/>
  <c r="O39" i="1"/>
  <c r="Q39" i="1" s="1"/>
  <c r="N39" i="1"/>
  <c r="R38" i="1"/>
  <c r="Q38" i="1"/>
  <c r="O38" i="1"/>
  <c r="P38" i="1" s="1"/>
  <c r="N38" i="1"/>
  <c r="R37" i="1"/>
  <c r="O37" i="1"/>
  <c r="Q37" i="1" s="1"/>
  <c r="N37" i="1"/>
  <c r="R36" i="1"/>
  <c r="O36" i="1"/>
  <c r="P36" i="1" s="1"/>
  <c r="N36" i="1"/>
  <c r="R35" i="1"/>
  <c r="P35" i="1"/>
  <c r="O35" i="1"/>
  <c r="Q35" i="1" s="1"/>
  <c r="N35" i="1"/>
  <c r="R34" i="1"/>
  <c r="Q34" i="1"/>
  <c r="O34" i="1"/>
  <c r="P34" i="1" s="1"/>
  <c r="N34" i="1"/>
  <c r="R33" i="1"/>
  <c r="Q33" i="1"/>
  <c r="P33" i="1"/>
  <c r="O33" i="1"/>
  <c r="N33" i="1"/>
  <c r="R32" i="1"/>
  <c r="O32" i="1"/>
  <c r="P32" i="1" s="1"/>
  <c r="N32" i="1"/>
  <c r="R31" i="1"/>
  <c r="O31" i="1"/>
  <c r="Q31" i="1" s="1"/>
  <c r="N31" i="1"/>
  <c r="R30" i="1"/>
  <c r="Q30" i="1"/>
  <c r="O30" i="1"/>
  <c r="P30" i="1" s="1"/>
  <c r="N30" i="1"/>
  <c r="R29" i="1"/>
  <c r="P29" i="1"/>
  <c r="O29" i="1"/>
  <c r="Q29" i="1" s="1"/>
  <c r="N29" i="1"/>
  <c r="R28" i="1"/>
  <c r="Q28" i="1"/>
  <c r="O28" i="1"/>
  <c r="P28" i="1" s="1"/>
  <c r="N28" i="1"/>
  <c r="R27" i="1"/>
  <c r="Q27" i="1"/>
  <c r="P27" i="1"/>
  <c r="O27" i="1"/>
  <c r="N27" i="1"/>
  <c r="R26" i="1"/>
  <c r="O26" i="1"/>
  <c r="P26" i="1" s="1"/>
  <c r="N26" i="1"/>
  <c r="R25" i="1"/>
  <c r="O25" i="1"/>
  <c r="N25" i="1"/>
  <c r="R24" i="1"/>
  <c r="O24" i="1"/>
  <c r="P24" i="1" s="1"/>
  <c r="N24" i="1"/>
  <c r="R23" i="1"/>
  <c r="O23" i="1"/>
  <c r="N23" i="1"/>
  <c r="R22" i="1"/>
  <c r="O22" i="1"/>
  <c r="N22" i="1"/>
  <c r="R21" i="1"/>
  <c r="O21" i="1"/>
  <c r="Q21" i="1" s="1"/>
  <c r="N21" i="1"/>
  <c r="R20" i="1"/>
  <c r="Q20" i="1"/>
  <c r="O20" i="1"/>
  <c r="P20" i="1" s="1"/>
  <c r="N20" i="1"/>
  <c r="R19" i="1"/>
  <c r="O19" i="1"/>
  <c r="Q19" i="1" s="1"/>
  <c r="N19" i="1"/>
  <c r="R18" i="1"/>
  <c r="O18" i="1"/>
  <c r="P18" i="1" s="1"/>
  <c r="N18" i="1"/>
  <c r="R17" i="1"/>
  <c r="O17" i="1"/>
  <c r="Q17" i="1" s="1"/>
  <c r="N17" i="1"/>
  <c r="R16" i="1"/>
  <c r="Q16" i="1"/>
  <c r="O16" i="1"/>
  <c r="P16" i="1" s="1"/>
  <c r="N16" i="1"/>
  <c r="R15" i="1"/>
  <c r="Q15" i="1"/>
  <c r="P15" i="1"/>
  <c r="O15" i="1"/>
  <c r="N15" i="1"/>
  <c r="R14" i="1"/>
  <c r="Q14" i="1"/>
  <c r="O14" i="1"/>
  <c r="P14" i="1" s="1"/>
  <c r="N14" i="1"/>
  <c r="R13" i="1"/>
  <c r="O13" i="1"/>
  <c r="Q13" i="1" s="1"/>
  <c r="N13" i="1"/>
  <c r="R12" i="1"/>
  <c r="O12" i="1"/>
  <c r="P12" i="1" s="1"/>
  <c r="N12" i="1"/>
  <c r="R11" i="1"/>
  <c r="O11" i="1"/>
  <c r="Q11" i="1" s="1"/>
  <c r="N11" i="1"/>
  <c r="R10" i="1"/>
  <c r="O10" i="1"/>
  <c r="P10" i="1" s="1"/>
  <c r="N10" i="1"/>
  <c r="R9" i="1"/>
  <c r="Q9" i="1"/>
  <c r="P9" i="1"/>
  <c r="O9" i="1"/>
  <c r="N9" i="1"/>
  <c r="R8" i="1"/>
  <c r="O8" i="1"/>
  <c r="P8" i="1" s="1"/>
  <c r="N8" i="1"/>
  <c r="R7" i="1"/>
  <c r="Q7" i="1"/>
  <c r="P7" i="1"/>
  <c r="O7" i="1"/>
  <c r="N7" i="1"/>
  <c r="R6" i="1"/>
  <c r="O6" i="1"/>
  <c r="P6" i="1" s="1"/>
  <c r="N6" i="1"/>
  <c r="R5" i="1"/>
  <c r="O5" i="1"/>
  <c r="Q5" i="1" s="1"/>
  <c r="N5" i="1"/>
  <c r="AD4" i="1"/>
  <c r="R4" i="1"/>
  <c r="O4" i="1"/>
  <c r="N4" i="1"/>
  <c r="AD3" i="1"/>
  <c r="S3" i="1"/>
  <c r="R3" i="1"/>
  <c r="Q3" i="1"/>
  <c r="O3" i="1"/>
  <c r="P3" i="1" s="1"/>
  <c r="N3" i="1"/>
  <c r="AD2" i="1"/>
  <c r="W2" i="1"/>
  <c r="U2" i="1"/>
  <c r="S2" i="1"/>
  <c r="R2" i="1"/>
  <c r="O2" i="1"/>
  <c r="N2" i="1"/>
  <c r="P13" i="1" l="1"/>
  <c r="P250" i="1"/>
  <c r="P41" i="1"/>
  <c r="Q41" i="1"/>
  <c r="P69" i="1"/>
  <c r="Q69" i="1"/>
  <c r="P167" i="1"/>
  <c r="P196" i="1"/>
  <c r="P84" i="1"/>
  <c r="Q84" i="1"/>
  <c r="Q113" i="1"/>
  <c r="P113" i="1"/>
  <c r="Q51" i="1"/>
  <c r="Q10" i="1"/>
  <c r="Q52" i="1"/>
  <c r="Q159" i="1"/>
  <c r="P235" i="1"/>
  <c r="P258" i="1"/>
  <c r="P284" i="1"/>
  <c r="Q191" i="1"/>
  <c r="P65" i="1"/>
  <c r="Q79" i="1"/>
  <c r="Q60" i="1"/>
  <c r="Q25" i="1"/>
  <c r="P25" i="1"/>
  <c r="P128" i="1"/>
  <c r="P147" i="1"/>
  <c r="Q63" i="1"/>
  <c r="P63" i="1"/>
  <c r="P296" i="1"/>
  <c r="Q296" i="1"/>
  <c r="Q229" i="1"/>
  <c r="P229" i="1"/>
  <c r="P55" i="1"/>
  <c r="P220" i="1"/>
  <c r="Q108" i="1"/>
  <c r="P280" i="1"/>
  <c r="Q24" i="1"/>
  <c r="P85" i="1"/>
  <c r="Q85" i="1"/>
  <c r="P262" i="1"/>
  <c r="P171" i="1"/>
  <c r="Q341" i="1"/>
  <c r="P341" i="1"/>
  <c r="P307" i="1"/>
  <c r="Q156" i="1"/>
  <c r="P156" i="1"/>
  <c r="P203" i="1"/>
  <c r="Q203" i="1"/>
  <c r="P44" i="1"/>
  <c r="Q44" i="1"/>
  <c r="Q32" i="1"/>
  <c r="P88" i="1"/>
  <c r="Q187" i="1"/>
  <c r="P187" i="1"/>
  <c r="Q265" i="1"/>
  <c r="P265" i="1"/>
  <c r="Q168" i="1"/>
  <c r="P168" i="1"/>
  <c r="P275" i="1"/>
  <c r="Q76" i="1"/>
  <c r="Q179" i="1"/>
  <c r="S4" i="1"/>
  <c r="U3" i="1"/>
  <c r="W3" i="1"/>
  <c r="T3" i="1"/>
  <c r="V3" i="1"/>
  <c r="P57" i="1"/>
  <c r="P105" i="1"/>
  <c r="Q105" i="1"/>
  <c r="P125" i="1"/>
  <c r="Q164" i="1"/>
  <c r="Q301" i="1"/>
  <c r="Q18" i="1"/>
  <c r="P102" i="1"/>
  <c r="Q256" i="1"/>
  <c r="P256" i="1"/>
  <c r="P22" i="1"/>
  <c r="Q22" i="1"/>
  <c r="Q293" i="1"/>
  <c r="P293" i="1"/>
  <c r="P145" i="1"/>
  <c r="Q145" i="1"/>
  <c r="P5" i="1"/>
  <c r="P11" i="1"/>
  <c r="P19" i="1"/>
  <c r="Q46" i="1"/>
  <c r="Q62" i="1"/>
  <c r="P71" i="1"/>
  <c r="Q74" i="1"/>
  <c r="P142" i="1"/>
  <c r="Q302" i="1"/>
  <c r="Q313" i="1"/>
  <c r="Q338" i="1"/>
  <c r="P350" i="1"/>
  <c r="Q353" i="1"/>
  <c r="J353" i="1" s="1"/>
  <c r="Q363" i="1"/>
  <c r="J363" i="1" s="1"/>
  <c r="Q206" i="1"/>
  <c r="P206" i="1"/>
  <c r="P330" i="1"/>
  <c r="Q330" i="1"/>
  <c r="Q8" i="1"/>
  <c r="P107" i="1"/>
  <c r="P174" i="1"/>
  <c r="Q174" i="1"/>
  <c r="P211" i="1"/>
  <c r="Q274" i="1"/>
  <c r="P274" i="1"/>
  <c r="P326" i="1"/>
  <c r="Q134" i="1"/>
  <c r="P134" i="1"/>
  <c r="P244" i="1"/>
  <c r="P194" i="1"/>
  <c r="P314" i="1"/>
  <c r="Q314" i="1"/>
  <c r="Q281" i="1"/>
  <c r="P281" i="1"/>
  <c r="P100" i="1"/>
  <c r="P117" i="1"/>
  <c r="Q218" i="1"/>
  <c r="P218" i="1"/>
  <c r="P253" i="1"/>
  <c r="Q266" i="1"/>
  <c r="P305" i="1"/>
  <c r="P77" i="1"/>
  <c r="P129" i="1"/>
  <c r="P146" i="1"/>
  <c r="P177" i="1"/>
  <c r="Q177" i="1"/>
  <c r="Q278" i="1"/>
  <c r="P83" i="1"/>
  <c r="P140" i="1"/>
  <c r="P183" i="1"/>
  <c r="P327" i="1"/>
  <c r="Q248" i="1"/>
  <c r="Q157" i="1"/>
  <c r="Q189" i="1"/>
  <c r="P198" i="1"/>
  <c r="P204" i="1"/>
  <c r="P215" i="1"/>
  <c r="Q331" i="1"/>
  <c r="P340" i="1"/>
  <c r="P365" i="1"/>
  <c r="Q12" i="1"/>
  <c r="Q26" i="1"/>
  <c r="Q53" i="1"/>
  <c r="Q64" i="1"/>
  <c r="Q67" i="1"/>
  <c r="P89" i="1"/>
  <c r="P98" i="1"/>
  <c r="P106" i="1"/>
  <c r="P132" i="1"/>
  <c r="P149" i="1"/>
  <c r="P163" i="1"/>
  <c r="P169" i="1"/>
  <c r="P178" i="1"/>
  <c r="Q219" i="1"/>
  <c r="P300" i="1"/>
  <c r="P321" i="1"/>
  <c r="P269" i="1"/>
  <c r="P17" i="1"/>
  <c r="P31" i="1"/>
  <c r="Q4" i="1"/>
  <c r="P4" i="1"/>
  <c r="Q23" i="1"/>
  <c r="P23" i="1"/>
  <c r="Q251" i="1"/>
  <c r="Q362" i="1"/>
  <c r="J362" i="1" s="1"/>
  <c r="P362" i="1"/>
  <c r="Q94" i="1"/>
  <c r="P94" i="1"/>
  <c r="Q111" i="1"/>
  <c r="P111" i="1"/>
  <c r="Q317" i="1"/>
  <c r="P317" i="1"/>
  <c r="Q6" i="1"/>
  <c r="Q137" i="1"/>
  <c r="P137" i="1"/>
  <c r="P45" i="1"/>
  <c r="Q337" i="1"/>
  <c r="Q80" i="1"/>
  <c r="P39" i="1"/>
  <c r="Q233" i="1"/>
  <c r="P123" i="1"/>
  <c r="Q72" i="1"/>
  <c r="Q48" i="1"/>
  <c r="Q124" i="1"/>
  <c r="P127" i="1"/>
  <c r="Q138" i="1"/>
  <c r="P138" i="1"/>
  <c r="P144" i="1"/>
  <c r="P216" i="1"/>
  <c r="Q36" i="1"/>
  <c r="Q120" i="1"/>
  <c r="Q260" i="1"/>
  <c r="P260" i="1"/>
  <c r="Q351" i="1"/>
  <c r="J351" i="1" s="1"/>
  <c r="Q50" i="1"/>
  <c r="Q58" i="1"/>
  <c r="P86" i="1"/>
  <c r="P209" i="1"/>
  <c r="Q2" i="1"/>
  <c r="P2" i="1"/>
  <c r="Q40" i="1"/>
  <c r="P59" i="1"/>
  <c r="P286" i="1"/>
  <c r="P37" i="1"/>
  <c r="Q207" i="1"/>
  <c r="P228" i="1"/>
  <c r="Q267" i="1"/>
  <c r="P312" i="1"/>
  <c r="Q116" i="1"/>
  <c r="P116" i="1"/>
  <c r="V2" i="1"/>
  <c r="T2" i="1"/>
  <c r="P21" i="1"/>
  <c r="Q42" i="1"/>
  <c r="P61" i="1"/>
  <c r="Q82" i="1"/>
  <c r="P92" i="1"/>
  <c r="P109" i="1"/>
  <c r="P121" i="1"/>
  <c r="Q160" i="1"/>
  <c r="P165" i="1"/>
  <c r="P170" i="1"/>
  <c r="Q175" i="1"/>
  <c r="P175" i="1"/>
  <c r="Q226" i="1"/>
  <c r="P282" i="1"/>
  <c r="P298" i="1"/>
  <c r="Q336" i="1"/>
  <c r="P336" i="1"/>
  <c r="Q97" i="1"/>
  <c r="P97" i="1"/>
  <c r="P329" i="1"/>
  <c r="Q358" i="1"/>
  <c r="J358" i="1" s="1"/>
  <c r="P358" i="1"/>
  <c r="P210" i="1"/>
  <c r="P223" i="1"/>
  <c r="P254" i="1"/>
  <c r="P263" i="1"/>
  <c r="P322" i="1"/>
  <c r="Q186" i="1"/>
  <c r="P272" i="1"/>
  <c r="Q306" i="1"/>
  <c r="V4" i="1" l="1"/>
  <c r="U4" i="1"/>
  <c r="T4" i="1"/>
  <c r="W4" i="1"/>
  <c r="S5" i="1"/>
  <c r="S6" i="1" l="1"/>
  <c r="U5" i="1"/>
  <c r="T5" i="1"/>
  <c r="W5" i="1"/>
  <c r="V5" i="1"/>
  <c r="U6" i="1" l="1"/>
  <c r="T6" i="1"/>
  <c r="W6" i="1"/>
  <c r="V6" i="1"/>
  <c r="S7" i="1"/>
  <c r="V7" i="1" l="1"/>
  <c r="W7" i="1"/>
  <c r="U7" i="1"/>
  <c r="T7" i="1"/>
  <c r="S8" i="1"/>
  <c r="U8" i="1" l="1"/>
  <c r="T8" i="1"/>
  <c r="S9" i="1"/>
  <c r="W8" i="1"/>
  <c r="V8" i="1"/>
  <c r="W9" i="1" l="1"/>
  <c r="V9" i="1"/>
  <c r="U9" i="1"/>
  <c r="T9" i="1"/>
  <c r="S10" i="1"/>
  <c r="U10" i="1" l="1"/>
  <c r="T10" i="1"/>
  <c r="S11" i="1"/>
  <c r="W10" i="1"/>
  <c r="V10" i="1"/>
  <c r="V11" i="1" l="1"/>
  <c r="T11" i="1"/>
  <c r="U11" i="1"/>
  <c r="W11" i="1"/>
  <c r="S12" i="1"/>
  <c r="U12" i="1" l="1"/>
  <c r="T12" i="1"/>
  <c r="W12" i="1"/>
  <c r="V12" i="1"/>
  <c r="S13" i="1"/>
  <c r="W13" i="1" l="1"/>
  <c r="V13" i="1"/>
  <c r="U13" i="1"/>
  <c r="S14" i="1"/>
  <c r="T13" i="1"/>
  <c r="U14" i="1" l="1"/>
  <c r="T14" i="1"/>
  <c r="S15" i="1"/>
  <c r="V14" i="1"/>
  <c r="W14" i="1"/>
  <c r="S16" i="1" l="1"/>
  <c r="V15" i="1"/>
  <c r="T15" i="1"/>
  <c r="U15" i="1"/>
  <c r="W15" i="1"/>
  <c r="U16" i="1" l="1"/>
  <c r="T16" i="1"/>
  <c r="S17" i="1"/>
  <c r="W16" i="1"/>
  <c r="V16" i="1"/>
  <c r="S18" i="1" l="1"/>
  <c r="W17" i="1"/>
  <c r="U17" i="1"/>
  <c r="V17" i="1"/>
  <c r="T17" i="1"/>
  <c r="U18" i="1" l="1"/>
  <c r="T18" i="1"/>
  <c r="W18" i="1"/>
  <c r="V18" i="1"/>
  <c r="S19" i="1"/>
  <c r="S20" i="1" l="1"/>
  <c r="T19" i="1"/>
  <c r="U19" i="1"/>
  <c r="W19" i="1"/>
  <c r="V19" i="1"/>
  <c r="U20" i="1" l="1"/>
  <c r="T20" i="1"/>
  <c r="W20" i="1"/>
  <c r="V20" i="1"/>
  <c r="S21" i="1"/>
  <c r="S22" i="1" l="1"/>
  <c r="V21" i="1"/>
  <c r="W21" i="1"/>
  <c r="T21" i="1"/>
  <c r="U21" i="1"/>
  <c r="U22" i="1" l="1"/>
  <c r="T22" i="1"/>
  <c r="S23" i="1"/>
  <c r="W22" i="1"/>
  <c r="V22" i="1"/>
  <c r="T23" i="1" l="1"/>
  <c r="V23" i="1"/>
  <c r="U23" i="1"/>
  <c r="W23" i="1"/>
  <c r="S24" i="1"/>
  <c r="U24" i="1" l="1"/>
  <c r="T24" i="1"/>
  <c r="S25" i="1"/>
  <c r="W24" i="1"/>
  <c r="V24" i="1"/>
  <c r="W25" i="1" l="1"/>
  <c r="V25" i="1"/>
  <c r="U25" i="1"/>
  <c r="T25" i="1"/>
  <c r="S26" i="1"/>
  <c r="U26" i="1" l="1"/>
  <c r="T26" i="1"/>
  <c r="W26" i="1"/>
  <c r="V26" i="1"/>
  <c r="S27" i="1"/>
  <c r="W27" i="1" l="1"/>
  <c r="V27" i="1"/>
  <c r="S28" i="1"/>
  <c r="U27" i="1"/>
  <c r="T27" i="1"/>
  <c r="U28" i="1" l="1"/>
  <c r="T28" i="1"/>
  <c r="W28" i="1"/>
  <c r="V28" i="1"/>
  <c r="S29" i="1"/>
  <c r="S30" i="1" l="1"/>
  <c r="W29" i="1"/>
  <c r="V29" i="1"/>
  <c r="U29" i="1"/>
  <c r="T29" i="1"/>
  <c r="U30" i="1" l="1"/>
  <c r="T30" i="1"/>
  <c r="V30" i="1"/>
  <c r="S31" i="1"/>
  <c r="W30" i="1"/>
  <c r="S32" i="1" l="1"/>
  <c r="W31" i="1"/>
  <c r="V31" i="1"/>
  <c r="U31" i="1"/>
  <c r="T31" i="1"/>
  <c r="U32" i="1" l="1"/>
  <c r="T32" i="1"/>
  <c r="W32" i="1"/>
  <c r="V32" i="1"/>
  <c r="S33" i="1"/>
  <c r="S34" i="1" l="1"/>
  <c r="U33" i="1"/>
  <c r="W33" i="1"/>
  <c r="V33" i="1"/>
  <c r="T33" i="1"/>
  <c r="U34" i="1" l="1"/>
  <c r="T34" i="1"/>
  <c r="V34" i="1"/>
  <c r="W34" i="1"/>
  <c r="S35" i="1"/>
  <c r="S36" i="1" l="1"/>
  <c r="W35" i="1"/>
  <c r="U35" i="1"/>
  <c r="V35" i="1"/>
  <c r="T35" i="1"/>
  <c r="U36" i="1" l="1"/>
  <c r="T36" i="1"/>
  <c r="S37" i="1"/>
  <c r="W36" i="1"/>
  <c r="V36" i="1"/>
  <c r="U37" i="1" l="1"/>
  <c r="T37" i="1"/>
  <c r="V37" i="1"/>
  <c r="S38" i="1"/>
  <c r="W37" i="1"/>
  <c r="U38" i="1" l="1"/>
  <c r="T38" i="1"/>
  <c r="S39" i="1"/>
  <c r="V38" i="1"/>
  <c r="W38" i="1"/>
  <c r="W39" i="1" l="1"/>
  <c r="V39" i="1"/>
  <c r="U39" i="1"/>
  <c r="T39" i="1"/>
  <c r="S40" i="1"/>
  <c r="U40" i="1" l="1"/>
  <c r="T40" i="1"/>
  <c r="S41" i="1"/>
  <c r="V40" i="1"/>
  <c r="W40" i="1"/>
  <c r="W41" i="1" l="1"/>
  <c r="T41" i="1"/>
  <c r="V41" i="1"/>
  <c r="S42" i="1"/>
  <c r="U41" i="1"/>
  <c r="U42" i="1" l="1"/>
  <c r="T42" i="1"/>
  <c r="W42" i="1"/>
  <c r="V42" i="1"/>
  <c r="S43" i="1"/>
  <c r="S44" i="1" l="1"/>
  <c r="V43" i="1"/>
  <c r="W43" i="1"/>
  <c r="U43" i="1"/>
  <c r="T43" i="1"/>
  <c r="U44" i="1" l="1"/>
  <c r="T44" i="1"/>
  <c r="W44" i="1"/>
  <c r="V44" i="1"/>
  <c r="S45" i="1"/>
  <c r="V45" i="1" l="1"/>
  <c r="T45" i="1"/>
  <c r="U45" i="1"/>
  <c r="S46" i="1"/>
  <c r="W45" i="1"/>
  <c r="U46" i="1" l="1"/>
  <c r="T46" i="1"/>
  <c r="W46" i="1"/>
  <c r="V46" i="1"/>
  <c r="S47" i="1"/>
  <c r="U47" i="1" l="1"/>
  <c r="T47" i="1"/>
  <c r="W47" i="1"/>
  <c r="V47" i="1"/>
  <c r="S48" i="1"/>
  <c r="U48" i="1" l="1"/>
  <c r="T48" i="1"/>
  <c r="S49" i="1"/>
  <c r="W48" i="1"/>
  <c r="V48" i="1"/>
  <c r="U49" i="1" l="1"/>
  <c r="S50" i="1"/>
  <c r="V49" i="1"/>
  <c r="W49" i="1"/>
  <c r="T49" i="1"/>
  <c r="U50" i="1" l="1"/>
  <c r="T50" i="1"/>
  <c r="S51" i="1"/>
  <c r="W50" i="1"/>
  <c r="V50" i="1"/>
  <c r="V51" i="1" l="1"/>
  <c r="U51" i="1"/>
  <c r="T51" i="1"/>
  <c r="S52" i="1"/>
  <c r="W51" i="1"/>
  <c r="U52" i="1" l="1"/>
  <c r="T52" i="1"/>
  <c r="S53" i="1"/>
  <c r="W52" i="1"/>
  <c r="V52" i="1"/>
  <c r="W53" i="1" l="1"/>
  <c r="V53" i="1"/>
  <c r="U53" i="1"/>
  <c r="T53" i="1"/>
  <c r="S54" i="1"/>
  <c r="U54" i="1" l="1"/>
  <c r="T54" i="1"/>
  <c r="S55" i="1"/>
  <c r="V54" i="1"/>
  <c r="W54" i="1"/>
  <c r="S56" i="1" l="1"/>
  <c r="V55" i="1"/>
  <c r="T55" i="1"/>
  <c r="U55" i="1"/>
  <c r="W55" i="1"/>
  <c r="U56" i="1" l="1"/>
  <c r="T56" i="1"/>
  <c r="S57" i="1"/>
  <c r="V56" i="1"/>
  <c r="W56" i="1"/>
  <c r="S58" i="1" l="1"/>
  <c r="U57" i="1"/>
  <c r="V57" i="1"/>
  <c r="W57" i="1"/>
  <c r="T57" i="1"/>
  <c r="U58" i="1" l="1"/>
  <c r="T58" i="1"/>
  <c r="V58" i="1"/>
  <c r="W58" i="1"/>
  <c r="S59" i="1"/>
  <c r="S60" i="1" l="1"/>
  <c r="T59" i="1"/>
  <c r="W59" i="1"/>
  <c r="U59" i="1"/>
  <c r="V59" i="1"/>
  <c r="U60" i="1" l="1"/>
  <c r="T60" i="1"/>
  <c r="W60" i="1"/>
  <c r="V60" i="1"/>
  <c r="S61" i="1"/>
  <c r="W61" i="1" l="1"/>
  <c r="V61" i="1"/>
  <c r="U61" i="1"/>
  <c r="T61" i="1"/>
  <c r="S62" i="1"/>
  <c r="U62" i="1" l="1"/>
  <c r="T62" i="1"/>
  <c r="S63" i="1"/>
  <c r="V62" i="1"/>
  <c r="W62" i="1"/>
  <c r="T63" i="1" l="1"/>
  <c r="S64" i="1"/>
  <c r="W63" i="1"/>
  <c r="V63" i="1"/>
  <c r="U63" i="1"/>
  <c r="U64" i="1" l="1"/>
  <c r="T64" i="1"/>
  <c r="S65" i="1"/>
  <c r="W64" i="1"/>
  <c r="V64" i="1"/>
  <c r="W65" i="1" l="1"/>
  <c r="U65" i="1"/>
  <c r="V65" i="1"/>
  <c r="T65" i="1"/>
  <c r="S66" i="1"/>
  <c r="U66" i="1" l="1"/>
  <c r="T66" i="1"/>
  <c r="W66" i="1"/>
  <c r="V66" i="1"/>
  <c r="S67" i="1"/>
  <c r="W67" i="1" l="1"/>
  <c r="V67" i="1"/>
  <c r="U67" i="1"/>
  <c r="T67" i="1"/>
  <c r="S68" i="1"/>
  <c r="U68" i="1" l="1"/>
  <c r="T68" i="1"/>
  <c r="S69" i="1"/>
  <c r="W68" i="1"/>
  <c r="V68" i="1"/>
  <c r="S70" i="1" l="1"/>
  <c r="U69" i="1"/>
  <c r="T69" i="1"/>
  <c r="W69" i="1"/>
  <c r="V69" i="1"/>
  <c r="U70" i="1" l="1"/>
  <c r="T70" i="1"/>
  <c r="V70" i="1"/>
  <c r="S71" i="1"/>
  <c r="W70" i="1"/>
  <c r="S72" i="1" l="1"/>
  <c r="W71" i="1"/>
  <c r="V71" i="1"/>
  <c r="U71" i="1"/>
  <c r="T71" i="1"/>
  <c r="U72" i="1" l="1"/>
  <c r="T72" i="1"/>
  <c r="W72" i="1"/>
  <c r="V72" i="1"/>
  <c r="S73" i="1"/>
  <c r="S74" i="1" l="1"/>
  <c r="T73" i="1"/>
  <c r="W73" i="1"/>
  <c r="V73" i="1"/>
  <c r="U73" i="1"/>
  <c r="U74" i="1" l="1"/>
  <c r="T74" i="1"/>
  <c r="S75" i="1"/>
  <c r="W74" i="1"/>
  <c r="V74" i="1"/>
  <c r="U75" i="1" l="1"/>
  <c r="T75" i="1"/>
  <c r="S76" i="1"/>
  <c r="W75" i="1"/>
  <c r="V75" i="1"/>
  <c r="U76" i="1" l="1"/>
  <c r="T76" i="1"/>
  <c r="S77" i="1"/>
  <c r="W76" i="1"/>
  <c r="V76" i="1"/>
  <c r="U77" i="1" l="1"/>
  <c r="T77" i="1"/>
  <c r="S78" i="1"/>
  <c r="W77" i="1"/>
  <c r="V77" i="1"/>
  <c r="U78" i="1" l="1"/>
  <c r="T78" i="1"/>
  <c r="W78" i="1"/>
  <c r="V78" i="1"/>
  <c r="S79" i="1"/>
  <c r="V79" i="1" l="1"/>
  <c r="W79" i="1"/>
  <c r="U79" i="1"/>
  <c r="T79" i="1"/>
  <c r="S80" i="1"/>
  <c r="U80" i="1" l="1"/>
  <c r="T80" i="1"/>
  <c r="V80" i="1"/>
  <c r="W80" i="1"/>
  <c r="S81" i="1"/>
  <c r="W81" i="1" l="1"/>
  <c r="T81" i="1"/>
  <c r="V81" i="1"/>
  <c r="U81" i="1"/>
  <c r="S82" i="1"/>
  <c r="U82" i="1" l="1"/>
  <c r="T82" i="1"/>
  <c r="S83" i="1"/>
  <c r="W82" i="1"/>
  <c r="V82" i="1"/>
  <c r="S84" i="1" l="1"/>
  <c r="W83" i="1"/>
  <c r="V83" i="1"/>
  <c r="U83" i="1"/>
  <c r="T83" i="1"/>
  <c r="U84" i="1" l="1"/>
  <c r="T84" i="1"/>
  <c r="W84" i="1"/>
  <c r="V84" i="1"/>
  <c r="S85" i="1"/>
  <c r="T85" i="1" l="1"/>
  <c r="S86" i="1"/>
  <c r="W85" i="1"/>
  <c r="V85" i="1"/>
  <c r="U85" i="1"/>
  <c r="V86" i="1" l="1"/>
  <c r="U86" i="1"/>
  <c r="W86" i="1"/>
  <c r="T86" i="1"/>
  <c r="S87" i="1"/>
  <c r="T87" i="1" l="1"/>
  <c r="S88" i="1"/>
  <c r="V87" i="1"/>
  <c r="U87" i="1"/>
  <c r="W87" i="1"/>
  <c r="W88" i="1" l="1"/>
  <c r="V88" i="1"/>
  <c r="T88" i="1"/>
  <c r="S89" i="1"/>
  <c r="U88" i="1"/>
  <c r="T89" i="1" l="1"/>
  <c r="S90" i="1"/>
  <c r="W89" i="1"/>
  <c r="U89" i="1"/>
  <c r="V89" i="1"/>
  <c r="W90" i="1" l="1"/>
  <c r="U90" i="1"/>
  <c r="S91" i="1"/>
  <c r="V90" i="1"/>
  <c r="T90" i="1"/>
  <c r="T91" i="1" l="1"/>
  <c r="W91" i="1"/>
  <c r="U91" i="1"/>
  <c r="V91" i="1"/>
  <c r="S92" i="1"/>
  <c r="V92" i="1" l="1"/>
  <c r="T92" i="1"/>
  <c r="U92" i="1"/>
  <c r="W92" i="1"/>
  <c r="S93" i="1"/>
  <c r="T93" i="1" l="1"/>
  <c r="S94" i="1"/>
  <c r="W93" i="1"/>
  <c r="V93" i="1"/>
  <c r="U93" i="1"/>
  <c r="W94" i="1" l="1"/>
  <c r="U94" i="1"/>
  <c r="T94" i="1"/>
  <c r="S95" i="1"/>
  <c r="V94" i="1"/>
  <c r="T95" i="1" l="1"/>
  <c r="W95" i="1"/>
  <c r="V95" i="1"/>
  <c r="U95" i="1"/>
  <c r="S96" i="1"/>
  <c r="V96" i="1" l="1"/>
  <c r="W96" i="1"/>
  <c r="U96" i="1"/>
  <c r="T96" i="1"/>
  <c r="S97" i="1"/>
  <c r="T97" i="1" l="1"/>
  <c r="S98" i="1"/>
  <c r="V97" i="1"/>
  <c r="W97" i="1"/>
  <c r="U97" i="1"/>
  <c r="W98" i="1" l="1"/>
  <c r="S99" i="1"/>
  <c r="T98" i="1"/>
  <c r="U98" i="1"/>
  <c r="V98" i="1"/>
  <c r="T99" i="1" l="1"/>
  <c r="U99" i="1"/>
  <c r="S100" i="1"/>
  <c r="W99" i="1"/>
  <c r="V99" i="1"/>
  <c r="S101" i="1" l="1"/>
  <c r="T100" i="1"/>
  <c r="W100" i="1"/>
  <c r="V100" i="1"/>
  <c r="U100" i="1"/>
  <c r="T101" i="1" l="1"/>
  <c r="V101" i="1"/>
  <c r="W101" i="1"/>
  <c r="U101" i="1"/>
  <c r="S102" i="1"/>
  <c r="S103" i="1" l="1"/>
  <c r="V102" i="1"/>
  <c r="W102" i="1"/>
  <c r="U102" i="1"/>
  <c r="T102" i="1"/>
  <c r="T103" i="1" l="1"/>
  <c r="U103" i="1"/>
  <c r="W103" i="1"/>
  <c r="V103" i="1"/>
  <c r="S104" i="1"/>
  <c r="S105" i="1" l="1"/>
  <c r="V104" i="1"/>
  <c r="T104" i="1"/>
  <c r="W104" i="1"/>
  <c r="U104" i="1"/>
  <c r="T105" i="1" l="1"/>
  <c r="V105" i="1"/>
  <c r="U105" i="1"/>
  <c r="S106" i="1"/>
  <c r="W105" i="1"/>
  <c r="S107" i="1" l="1"/>
  <c r="V106" i="1"/>
  <c r="T106" i="1"/>
  <c r="U106" i="1"/>
  <c r="W106" i="1"/>
  <c r="T107" i="1" l="1"/>
  <c r="W107" i="1"/>
  <c r="V107" i="1"/>
  <c r="S108" i="1"/>
  <c r="U107" i="1"/>
  <c r="W108" i="1" l="1"/>
  <c r="V108" i="1"/>
  <c r="S109" i="1"/>
  <c r="U108" i="1"/>
  <c r="T108" i="1"/>
  <c r="T109" i="1" l="1"/>
  <c r="W109" i="1"/>
  <c r="U109" i="1"/>
  <c r="V109" i="1"/>
  <c r="S110" i="1"/>
  <c r="S111" i="1" l="1"/>
  <c r="W110" i="1"/>
  <c r="V110" i="1"/>
  <c r="T110" i="1"/>
  <c r="U110" i="1"/>
  <c r="T111" i="1" l="1"/>
  <c r="V111" i="1"/>
  <c r="W111" i="1"/>
  <c r="U111" i="1"/>
  <c r="S112" i="1"/>
  <c r="S113" i="1" l="1"/>
  <c r="V112" i="1"/>
  <c r="T112" i="1"/>
  <c r="U112" i="1"/>
  <c r="W112" i="1"/>
  <c r="T113" i="1" l="1"/>
  <c r="W113" i="1"/>
  <c r="U113" i="1"/>
  <c r="V113" i="1"/>
  <c r="S114" i="1"/>
  <c r="W114" i="1" l="1"/>
  <c r="U114" i="1"/>
  <c r="V114" i="1"/>
  <c r="T114" i="1"/>
  <c r="S115" i="1"/>
  <c r="T115" i="1" l="1"/>
  <c r="V115" i="1"/>
  <c r="S116" i="1"/>
  <c r="W115" i="1"/>
  <c r="U115" i="1"/>
  <c r="U116" i="1" l="1"/>
  <c r="T116" i="1"/>
  <c r="S117" i="1"/>
  <c r="V116" i="1"/>
  <c r="W116" i="1"/>
  <c r="T117" i="1" l="1"/>
  <c r="W117" i="1"/>
  <c r="V117" i="1"/>
  <c r="U117" i="1"/>
  <c r="S118" i="1"/>
  <c r="V118" i="1" l="1"/>
  <c r="W118" i="1"/>
  <c r="U118" i="1"/>
  <c r="T118" i="1"/>
  <c r="S119" i="1"/>
  <c r="T119" i="1" l="1"/>
  <c r="S120" i="1"/>
  <c r="W119" i="1"/>
  <c r="U119" i="1"/>
  <c r="V119" i="1"/>
  <c r="W120" i="1" l="1"/>
  <c r="T120" i="1"/>
  <c r="V120" i="1"/>
  <c r="U120" i="1"/>
  <c r="S121" i="1"/>
  <c r="T121" i="1" l="1"/>
  <c r="S122" i="1"/>
  <c r="W121" i="1"/>
  <c r="V121" i="1"/>
  <c r="U121" i="1"/>
  <c r="T122" i="1" l="1"/>
  <c r="S123" i="1"/>
  <c r="V122" i="1"/>
  <c r="W122" i="1"/>
  <c r="U122" i="1"/>
  <c r="T123" i="1" l="1"/>
  <c r="V123" i="1"/>
  <c r="U123" i="1"/>
  <c r="W123" i="1"/>
  <c r="S124" i="1"/>
  <c r="U124" i="1" l="1"/>
  <c r="T124" i="1"/>
  <c r="S125" i="1"/>
  <c r="W124" i="1"/>
  <c r="V124" i="1"/>
  <c r="T125" i="1" l="1"/>
  <c r="S126" i="1"/>
  <c r="W125" i="1"/>
  <c r="V125" i="1"/>
  <c r="U125" i="1"/>
  <c r="V126" i="1" l="1"/>
  <c r="U126" i="1"/>
  <c r="W126" i="1"/>
  <c r="T126" i="1"/>
  <c r="S127" i="1"/>
  <c r="T127" i="1" l="1"/>
  <c r="S128" i="1"/>
  <c r="V127" i="1"/>
  <c r="W127" i="1"/>
  <c r="U127" i="1"/>
  <c r="W128" i="1" l="1"/>
  <c r="V128" i="1"/>
  <c r="T128" i="1"/>
  <c r="U128" i="1"/>
  <c r="S129" i="1"/>
  <c r="T129" i="1" l="1"/>
  <c r="S130" i="1"/>
  <c r="W129" i="1"/>
  <c r="V129" i="1"/>
  <c r="U129" i="1"/>
  <c r="W130" i="1" l="1"/>
  <c r="U130" i="1"/>
  <c r="S131" i="1"/>
  <c r="V130" i="1"/>
  <c r="T130" i="1"/>
  <c r="T131" i="1" l="1"/>
  <c r="W131" i="1"/>
  <c r="S132" i="1"/>
  <c r="V131" i="1"/>
  <c r="U131" i="1"/>
  <c r="V132" i="1" l="1"/>
  <c r="T132" i="1"/>
  <c r="S133" i="1"/>
  <c r="U132" i="1"/>
  <c r="W132" i="1"/>
  <c r="T133" i="1" l="1"/>
  <c r="V133" i="1"/>
  <c r="U133" i="1"/>
  <c r="S134" i="1"/>
  <c r="W133" i="1"/>
  <c r="W134" i="1" l="1"/>
  <c r="U134" i="1"/>
  <c r="S135" i="1"/>
  <c r="T134" i="1"/>
  <c r="V134" i="1"/>
  <c r="T135" i="1" l="1"/>
  <c r="W135" i="1"/>
  <c r="V135" i="1"/>
  <c r="S136" i="1"/>
  <c r="U135" i="1"/>
  <c r="V136" i="1" l="1"/>
  <c r="W136" i="1"/>
  <c r="S137" i="1"/>
  <c r="U136" i="1"/>
  <c r="T136" i="1"/>
  <c r="T137" i="1" l="1"/>
  <c r="S138" i="1"/>
  <c r="U137" i="1"/>
  <c r="W137" i="1"/>
  <c r="V137" i="1"/>
  <c r="W138" i="1" l="1"/>
  <c r="T138" i="1"/>
  <c r="V138" i="1"/>
  <c r="U138" i="1"/>
  <c r="S139" i="1"/>
  <c r="T139" i="1" l="1"/>
  <c r="S140" i="1"/>
  <c r="W139" i="1"/>
  <c r="U139" i="1"/>
  <c r="V139" i="1"/>
  <c r="S141" i="1" l="1"/>
  <c r="W140" i="1"/>
  <c r="U140" i="1"/>
  <c r="V140" i="1"/>
  <c r="T140" i="1"/>
  <c r="T141" i="1" l="1"/>
  <c r="U141" i="1"/>
  <c r="S142" i="1"/>
  <c r="W141" i="1"/>
  <c r="V141" i="1"/>
  <c r="S143" i="1" l="1"/>
  <c r="W142" i="1"/>
  <c r="V142" i="1"/>
  <c r="U142" i="1"/>
  <c r="T142" i="1"/>
  <c r="T143" i="1" l="1"/>
  <c r="U143" i="1"/>
  <c r="V143" i="1"/>
  <c r="W143" i="1"/>
  <c r="S144" i="1"/>
  <c r="S145" i="1" l="1"/>
  <c r="U144" i="1"/>
  <c r="W144" i="1"/>
  <c r="V144" i="1"/>
  <c r="T144" i="1"/>
  <c r="T145" i="1" l="1"/>
  <c r="V145" i="1"/>
  <c r="U145" i="1"/>
  <c r="W145" i="1"/>
  <c r="S146" i="1"/>
  <c r="S147" i="1" l="1"/>
  <c r="V146" i="1"/>
  <c r="W146" i="1"/>
  <c r="U146" i="1"/>
  <c r="T146" i="1"/>
  <c r="T147" i="1" l="1"/>
  <c r="W147" i="1"/>
  <c r="V147" i="1"/>
  <c r="S148" i="1"/>
  <c r="U147" i="1"/>
  <c r="V148" i="1" l="1"/>
  <c r="T148" i="1"/>
  <c r="S149" i="1"/>
  <c r="U148" i="1"/>
  <c r="W148" i="1"/>
  <c r="T149" i="1" l="1"/>
  <c r="W149" i="1"/>
  <c r="U149" i="1"/>
  <c r="S150" i="1"/>
  <c r="V149" i="1"/>
  <c r="S151" i="1" l="1"/>
  <c r="V150" i="1"/>
  <c r="U150" i="1"/>
  <c r="T150" i="1"/>
  <c r="W150" i="1"/>
  <c r="T151" i="1" l="1"/>
  <c r="V151" i="1"/>
  <c r="W151" i="1"/>
  <c r="S152" i="1"/>
  <c r="U151" i="1"/>
  <c r="W152" i="1" l="1"/>
  <c r="V152" i="1"/>
  <c r="U152" i="1"/>
  <c r="T152" i="1"/>
  <c r="S153" i="1"/>
  <c r="T153" i="1" l="1"/>
  <c r="W153" i="1"/>
  <c r="U153" i="1"/>
  <c r="S154" i="1"/>
  <c r="V153" i="1"/>
  <c r="S155" i="1" l="1"/>
  <c r="W154" i="1"/>
  <c r="V154" i="1"/>
  <c r="U154" i="1"/>
  <c r="T154" i="1"/>
  <c r="T155" i="1" l="1"/>
  <c r="V155" i="1"/>
  <c r="S156" i="1"/>
  <c r="W155" i="1"/>
  <c r="U155" i="1"/>
  <c r="S157" i="1" l="1"/>
  <c r="W156" i="1"/>
  <c r="V156" i="1"/>
  <c r="U156" i="1"/>
  <c r="T156" i="1"/>
  <c r="T157" i="1" l="1"/>
  <c r="W157" i="1"/>
  <c r="V157" i="1"/>
  <c r="U157" i="1"/>
  <c r="S158" i="1"/>
  <c r="S159" i="1" l="1"/>
  <c r="T158" i="1"/>
  <c r="W158" i="1"/>
  <c r="U158" i="1"/>
  <c r="V158" i="1"/>
  <c r="T159" i="1" l="1"/>
  <c r="S160" i="1"/>
  <c r="W159" i="1"/>
  <c r="U159" i="1"/>
  <c r="V159" i="1"/>
  <c r="W160" i="1" l="1"/>
  <c r="V160" i="1"/>
  <c r="U160" i="1"/>
  <c r="T160" i="1"/>
  <c r="S161" i="1"/>
  <c r="T161" i="1" l="1"/>
  <c r="S162" i="1"/>
  <c r="W161" i="1"/>
  <c r="U161" i="1"/>
  <c r="V161" i="1"/>
  <c r="T162" i="1" l="1"/>
  <c r="W162" i="1"/>
  <c r="V162" i="1"/>
  <c r="U162" i="1"/>
  <c r="S163" i="1"/>
  <c r="T163" i="1" l="1"/>
  <c r="U163" i="1"/>
  <c r="S164" i="1"/>
  <c r="W163" i="1"/>
  <c r="V163" i="1"/>
  <c r="U164" i="1" l="1"/>
  <c r="T164" i="1"/>
  <c r="W164" i="1"/>
  <c r="S165" i="1"/>
  <c r="V164" i="1"/>
  <c r="T165" i="1" l="1"/>
  <c r="S166" i="1"/>
  <c r="V165" i="1"/>
  <c r="W165" i="1"/>
  <c r="U165" i="1"/>
  <c r="V166" i="1" l="1"/>
  <c r="U166" i="1"/>
  <c r="S167" i="1"/>
  <c r="T166" i="1"/>
  <c r="W166" i="1"/>
  <c r="T167" i="1" l="1"/>
  <c r="W167" i="1"/>
  <c r="U167" i="1"/>
  <c r="V167" i="1"/>
  <c r="S168" i="1"/>
  <c r="W168" i="1" l="1"/>
  <c r="V168" i="1"/>
  <c r="T168" i="1"/>
  <c r="U168" i="1"/>
  <c r="S169" i="1"/>
  <c r="T169" i="1" l="1"/>
  <c r="S170" i="1"/>
  <c r="W169" i="1"/>
  <c r="U169" i="1"/>
  <c r="V169" i="1"/>
  <c r="W170" i="1" l="1"/>
  <c r="U170" i="1"/>
  <c r="S171" i="1"/>
  <c r="T170" i="1"/>
  <c r="V170" i="1"/>
  <c r="T171" i="1" l="1"/>
  <c r="S172" i="1"/>
  <c r="W171" i="1"/>
  <c r="V171" i="1"/>
  <c r="U171" i="1"/>
  <c r="S173" i="1" l="1"/>
  <c r="V172" i="1"/>
  <c r="T172" i="1"/>
  <c r="W172" i="1"/>
  <c r="U172" i="1"/>
  <c r="T173" i="1" l="1"/>
  <c r="S174" i="1"/>
  <c r="V173" i="1"/>
  <c r="W173" i="1"/>
  <c r="U173" i="1"/>
  <c r="V174" i="1" l="1"/>
  <c r="W174" i="1"/>
  <c r="U174" i="1"/>
  <c r="S175" i="1"/>
  <c r="T174" i="1"/>
  <c r="T175" i="1" l="1"/>
  <c r="U175" i="1"/>
  <c r="W175" i="1"/>
  <c r="V175" i="1"/>
  <c r="S176" i="1"/>
  <c r="S177" i="1" l="1"/>
  <c r="W176" i="1"/>
  <c r="V176" i="1"/>
  <c r="U176" i="1"/>
  <c r="T176" i="1"/>
  <c r="T177" i="1" l="1"/>
  <c r="V177" i="1"/>
  <c r="W177" i="1"/>
  <c r="U177" i="1"/>
  <c r="S178" i="1"/>
  <c r="T178" i="1" l="1"/>
  <c r="V178" i="1"/>
  <c r="U178" i="1"/>
  <c r="W178" i="1"/>
  <c r="S179" i="1"/>
  <c r="T179" i="1" l="1"/>
  <c r="W179" i="1"/>
  <c r="V179" i="1"/>
  <c r="U179" i="1"/>
  <c r="S180" i="1"/>
  <c r="U180" i="1" l="1"/>
  <c r="T180" i="1"/>
  <c r="W180" i="1"/>
  <c r="V180" i="1"/>
  <c r="S181" i="1"/>
  <c r="T181" i="1" l="1"/>
  <c r="W181" i="1"/>
  <c r="U181" i="1"/>
  <c r="S182" i="1"/>
  <c r="V181" i="1"/>
  <c r="S183" i="1" l="1"/>
  <c r="V182" i="1"/>
  <c r="T182" i="1"/>
  <c r="U182" i="1"/>
  <c r="W182" i="1"/>
  <c r="T183" i="1" l="1"/>
  <c r="V183" i="1"/>
  <c r="W183" i="1"/>
  <c r="U183" i="1"/>
  <c r="S184" i="1"/>
  <c r="W184" i="1" l="1"/>
  <c r="V184" i="1"/>
  <c r="U184" i="1"/>
  <c r="S185" i="1"/>
  <c r="T184" i="1"/>
  <c r="T185" i="1" l="1"/>
  <c r="W185" i="1"/>
  <c r="U185" i="1"/>
  <c r="S186" i="1"/>
  <c r="V185" i="1"/>
  <c r="S187" i="1" l="1"/>
  <c r="V186" i="1"/>
  <c r="W186" i="1"/>
  <c r="U186" i="1"/>
  <c r="T186" i="1"/>
  <c r="T187" i="1" l="1"/>
  <c r="S188" i="1"/>
  <c r="W187" i="1"/>
  <c r="U187" i="1"/>
  <c r="V187" i="1"/>
  <c r="W188" i="1" l="1"/>
  <c r="S189" i="1"/>
  <c r="V188" i="1"/>
  <c r="T188" i="1"/>
  <c r="U188" i="1"/>
  <c r="T189" i="1" l="1"/>
  <c r="S190" i="1"/>
  <c r="W189" i="1"/>
  <c r="V189" i="1"/>
  <c r="U189" i="1"/>
  <c r="T190" i="1" l="1"/>
  <c r="S191" i="1"/>
  <c r="W190" i="1"/>
  <c r="U190" i="1"/>
  <c r="V190" i="1"/>
  <c r="T191" i="1" l="1"/>
  <c r="S192" i="1"/>
  <c r="V191" i="1"/>
  <c r="W191" i="1"/>
  <c r="U191" i="1"/>
  <c r="V192" i="1" l="1"/>
  <c r="T192" i="1"/>
  <c r="U192" i="1"/>
  <c r="W192" i="1"/>
  <c r="S193" i="1"/>
  <c r="T193" i="1" l="1"/>
  <c r="S194" i="1"/>
  <c r="V193" i="1"/>
  <c r="U193" i="1"/>
  <c r="W193" i="1"/>
  <c r="T194" i="1" l="1"/>
  <c r="W194" i="1"/>
  <c r="U194" i="1"/>
  <c r="S195" i="1"/>
  <c r="V194" i="1"/>
  <c r="T195" i="1" l="1"/>
  <c r="V195" i="1"/>
  <c r="U195" i="1"/>
  <c r="S196" i="1"/>
  <c r="W195" i="1"/>
  <c r="U196" i="1" l="1"/>
  <c r="W196" i="1"/>
  <c r="T196" i="1"/>
  <c r="S197" i="1"/>
  <c r="V196" i="1"/>
  <c r="T197" i="1" l="1"/>
  <c r="V197" i="1"/>
  <c r="W197" i="1"/>
  <c r="U197" i="1"/>
  <c r="S198" i="1"/>
  <c r="V198" i="1" l="1"/>
  <c r="W198" i="1"/>
  <c r="U198" i="1"/>
  <c r="T198" i="1"/>
  <c r="S199" i="1"/>
  <c r="T199" i="1" l="1"/>
  <c r="S200" i="1"/>
  <c r="W199" i="1"/>
  <c r="V199" i="1"/>
  <c r="U199" i="1"/>
  <c r="W200" i="1" l="1"/>
  <c r="S201" i="1"/>
  <c r="U200" i="1"/>
  <c r="V200" i="1"/>
  <c r="T200" i="1"/>
  <c r="T201" i="1" l="1"/>
  <c r="U201" i="1"/>
  <c r="S202" i="1"/>
  <c r="W201" i="1"/>
  <c r="V201" i="1"/>
  <c r="S203" i="1" l="1"/>
  <c r="W202" i="1"/>
  <c r="V202" i="1"/>
  <c r="U202" i="1"/>
  <c r="T202" i="1"/>
  <c r="T203" i="1" l="1"/>
  <c r="V203" i="1"/>
  <c r="U203" i="1"/>
  <c r="S204" i="1"/>
  <c r="W203" i="1"/>
  <c r="S205" i="1" l="1"/>
  <c r="U204" i="1"/>
  <c r="T204" i="1"/>
  <c r="W204" i="1"/>
  <c r="V204" i="1"/>
  <c r="T205" i="1" l="1"/>
  <c r="W205" i="1"/>
  <c r="V205" i="1"/>
  <c r="U205" i="1"/>
  <c r="S206" i="1"/>
  <c r="S207" i="1" l="1"/>
  <c r="T206" i="1"/>
  <c r="W206" i="1"/>
  <c r="V206" i="1"/>
  <c r="U206" i="1"/>
  <c r="T207" i="1" l="1"/>
  <c r="W207" i="1"/>
  <c r="V207" i="1"/>
  <c r="U207" i="1"/>
  <c r="S208" i="1"/>
  <c r="W208" i="1" l="1"/>
  <c r="U208" i="1"/>
  <c r="S209" i="1"/>
  <c r="V208" i="1"/>
  <c r="T208" i="1"/>
  <c r="T209" i="1" l="1"/>
  <c r="V209" i="1"/>
  <c r="S210" i="1"/>
  <c r="U209" i="1"/>
  <c r="W209" i="1"/>
  <c r="W210" i="1" l="1"/>
  <c r="V210" i="1"/>
  <c r="U210" i="1"/>
  <c r="T210" i="1"/>
  <c r="S211" i="1"/>
  <c r="T211" i="1" l="1"/>
  <c r="W211" i="1"/>
  <c r="S212" i="1"/>
  <c r="V211" i="1"/>
  <c r="U211" i="1"/>
  <c r="S213" i="1" l="1"/>
  <c r="W212" i="1"/>
  <c r="V212" i="1"/>
  <c r="U212" i="1"/>
  <c r="T212" i="1"/>
  <c r="T213" i="1" l="1"/>
  <c r="S214" i="1"/>
  <c r="W213" i="1"/>
  <c r="V213" i="1"/>
  <c r="U213" i="1"/>
  <c r="T214" i="1" l="1"/>
  <c r="S215" i="1"/>
  <c r="U214" i="1"/>
  <c r="W214" i="1"/>
  <c r="V214" i="1"/>
  <c r="T215" i="1" l="1"/>
  <c r="U215" i="1"/>
  <c r="S216" i="1"/>
  <c r="W215" i="1"/>
  <c r="V215" i="1"/>
  <c r="V216" i="1" l="1"/>
  <c r="U216" i="1"/>
  <c r="T216" i="1"/>
  <c r="S217" i="1"/>
  <c r="W216" i="1"/>
  <c r="T217" i="1" l="1"/>
  <c r="V217" i="1"/>
  <c r="S218" i="1"/>
  <c r="W217" i="1"/>
  <c r="U217" i="1"/>
  <c r="W218" i="1" l="1"/>
  <c r="V218" i="1"/>
  <c r="U218" i="1"/>
  <c r="T218" i="1"/>
  <c r="S219" i="1"/>
  <c r="T219" i="1" l="1"/>
  <c r="W219" i="1"/>
  <c r="V219" i="1"/>
  <c r="U219" i="1"/>
  <c r="S220" i="1"/>
  <c r="W220" i="1" l="1"/>
  <c r="U220" i="1"/>
  <c r="S221" i="1"/>
  <c r="V220" i="1"/>
  <c r="T220" i="1"/>
  <c r="T221" i="1" l="1"/>
  <c r="W221" i="1"/>
  <c r="V221" i="1"/>
  <c r="U221" i="1"/>
  <c r="S222" i="1"/>
  <c r="V222" i="1" l="1"/>
  <c r="S223" i="1"/>
  <c r="W222" i="1"/>
  <c r="T222" i="1"/>
  <c r="U222" i="1"/>
  <c r="T223" i="1" l="1"/>
  <c r="V223" i="1"/>
  <c r="W223" i="1"/>
  <c r="U223" i="1"/>
  <c r="S224" i="1"/>
  <c r="W224" i="1" l="1"/>
  <c r="T224" i="1"/>
  <c r="V224" i="1"/>
  <c r="U224" i="1"/>
  <c r="S225" i="1"/>
  <c r="T225" i="1" l="1"/>
  <c r="W225" i="1"/>
  <c r="S226" i="1"/>
  <c r="V225" i="1"/>
  <c r="U225" i="1"/>
  <c r="S227" i="1" l="1"/>
  <c r="W226" i="1"/>
  <c r="V226" i="1"/>
  <c r="T226" i="1"/>
  <c r="U226" i="1"/>
  <c r="T227" i="1" l="1"/>
  <c r="U227" i="1"/>
  <c r="S228" i="1"/>
  <c r="W227" i="1"/>
  <c r="V227" i="1"/>
  <c r="S229" i="1" l="1"/>
  <c r="W228" i="1"/>
  <c r="V228" i="1"/>
  <c r="U228" i="1"/>
  <c r="T228" i="1"/>
  <c r="T229" i="1" l="1"/>
  <c r="W229" i="1"/>
  <c r="V229" i="1"/>
  <c r="U229" i="1"/>
  <c r="S230" i="1"/>
  <c r="S231" i="1" l="1"/>
  <c r="W230" i="1"/>
  <c r="V230" i="1"/>
  <c r="U230" i="1"/>
  <c r="T230" i="1"/>
  <c r="T231" i="1" l="1"/>
  <c r="S232" i="1"/>
  <c r="V231" i="1"/>
  <c r="W231" i="1"/>
  <c r="U231" i="1"/>
  <c r="S233" i="1" l="1"/>
  <c r="W232" i="1"/>
  <c r="U232" i="1"/>
  <c r="V232" i="1"/>
  <c r="T232" i="1"/>
  <c r="T233" i="1" l="1"/>
  <c r="W233" i="1"/>
  <c r="U233" i="1"/>
  <c r="V233" i="1"/>
  <c r="S234" i="1"/>
  <c r="T234" i="1" l="1"/>
  <c r="V234" i="1"/>
  <c r="U234" i="1"/>
  <c r="S235" i="1"/>
  <c r="W234" i="1"/>
  <c r="T235" i="1" l="1"/>
  <c r="W235" i="1"/>
  <c r="S236" i="1"/>
  <c r="V235" i="1"/>
  <c r="U235" i="1"/>
  <c r="U236" i="1" l="1"/>
  <c r="W236" i="1"/>
  <c r="V236" i="1"/>
  <c r="T236" i="1"/>
  <c r="S237" i="1"/>
  <c r="T237" i="1" l="1"/>
  <c r="S238" i="1"/>
  <c r="V237" i="1"/>
  <c r="W237" i="1"/>
  <c r="U237" i="1"/>
  <c r="V238" i="1" l="1"/>
  <c r="T238" i="1"/>
  <c r="S239" i="1"/>
  <c r="W238" i="1"/>
  <c r="U238" i="1"/>
  <c r="T239" i="1" l="1"/>
  <c r="S240" i="1"/>
  <c r="W239" i="1"/>
  <c r="V239" i="1"/>
  <c r="U239" i="1"/>
  <c r="W240" i="1" l="1"/>
  <c r="V240" i="1"/>
  <c r="T240" i="1"/>
  <c r="U240" i="1"/>
  <c r="S241" i="1"/>
  <c r="T241" i="1" l="1"/>
  <c r="S242" i="1"/>
  <c r="W241" i="1"/>
  <c r="V241" i="1"/>
  <c r="U241" i="1"/>
  <c r="V242" i="1" l="1"/>
  <c r="W242" i="1"/>
  <c r="U242" i="1"/>
  <c r="T242" i="1"/>
  <c r="S243" i="1"/>
  <c r="T243" i="1" l="1"/>
  <c r="S244" i="1"/>
  <c r="U243" i="1"/>
  <c r="W243" i="1"/>
  <c r="V243" i="1"/>
  <c r="W244" i="1" l="1"/>
  <c r="U244" i="1"/>
  <c r="V244" i="1"/>
  <c r="T244" i="1"/>
  <c r="S245" i="1"/>
  <c r="T245" i="1" l="1"/>
  <c r="W245" i="1"/>
  <c r="V245" i="1"/>
  <c r="U245" i="1"/>
  <c r="S246" i="1"/>
  <c r="S247" i="1" l="1"/>
  <c r="W246" i="1"/>
  <c r="V246" i="1"/>
  <c r="U246" i="1"/>
  <c r="T246" i="1"/>
  <c r="T247" i="1" l="1"/>
  <c r="W247" i="1"/>
  <c r="S248" i="1"/>
  <c r="V247" i="1"/>
  <c r="U247" i="1"/>
  <c r="S249" i="1" l="1"/>
  <c r="W248" i="1"/>
  <c r="V248" i="1"/>
  <c r="U248" i="1"/>
  <c r="T248" i="1"/>
  <c r="T249" i="1" l="1"/>
  <c r="V249" i="1"/>
  <c r="U249" i="1"/>
  <c r="W249" i="1"/>
  <c r="S250" i="1"/>
  <c r="W250" i="1" l="1"/>
  <c r="T250" i="1"/>
  <c r="S251" i="1"/>
  <c r="V250" i="1"/>
  <c r="U250" i="1"/>
  <c r="T251" i="1" l="1"/>
  <c r="V251" i="1"/>
  <c r="W251" i="1"/>
  <c r="U251" i="1"/>
  <c r="S252" i="1"/>
  <c r="S253" i="1" l="1"/>
  <c r="V252" i="1"/>
  <c r="W252" i="1"/>
  <c r="U252" i="1"/>
  <c r="T252" i="1"/>
  <c r="T253" i="1" l="1"/>
  <c r="V253" i="1"/>
  <c r="S254" i="1"/>
  <c r="U253" i="1"/>
  <c r="W253" i="1"/>
  <c r="V254" i="1" l="1"/>
  <c r="W254" i="1"/>
  <c r="U254" i="1"/>
  <c r="T254" i="1"/>
  <c r="S255" i="1"/>
  <c r="T255" i="1" l="1"/>
  <c r="U255" i="1"/>
  <c r="S256" i="1"/>
  <c r="W255" i="1"/>
  <c r="V255" i="1"/>
  <c r="S257" i="1" l="1"/>
  <c r="W256" i="1"/>
  <c r="V256" i="1"/>
  <c r="U256" i="1"/>
  <c r="T256" i="1"/>
  <c r="T257" i="1" l="1"/>
  <c r="V257" i="1"/>
  <c r="S258" i="1"/>
  <c r="U257" i="1"/>
  <c r="W257" i="1"/>
  <c r="V258" i="1" l="1"/>
  <c r="U258" i="1"/>
  <c r="T258" i="1"/>
  <c r="S259" i="1"/>
  <c r="W258" i="1"/>
  <c r="T259" i="1" l="1"/>
  <c r="W259" i="1"/>
  <c r="U259" i="1"/>
  <c r="S260" i="1"/>
  <c r="V259" i="1"/>
  <c r="W260" i="1" l="1"/>
  <c r="V260" i="1"/>
  <c r="T260" i="1"/>
  <c r="U260" i="1"/>
  <c r="S261" i="1"/>
  <c r="T261" i="1" l="1"/>
  <c r="V261" i="1"/>
  <c r="U261" i="1"/>
  <c r="W261" i="1"/>
  <c r="S262" i="1"/>
  <c r="V262" i="1" l="1"/>
  <c r="W262" i="1"/>
  <c r="U262" i="1"/>
  <c r="S263" i="1"/>
  <c r="T262" i="1"/>
  <c r="T263" i="1" l="1"/>
  <c r="W263" i="1"/>
  <c r="V263" i="1"/>
  <c r="U263" i="1"/>
  <c r="S264" i="1"/>
  <c r="S265" i="1" l="1"/>
  <c r="V264" i="1"/>
  <c r="T264" i="1"/>
  <c r="W264" i="1"/>
  <c r="U264" i="1"/>
  <c r="T265" i="1" l="1"/>
  <c r="W265" i="1"/>
  <c r="V265" i="1"/>
  <c r="U265" i="1"/>
  <c r="S266" i="1"/>
  <c r="S267" i="1" l="1"/>
  <c r="W266" i="1"/>
  <c r="V266" i="1"/>
  <c r="U266" i="1"/>
  <c r="T266" i="1"/>
  <c r="T267" i="1" l="1"/>
  <c r="V267" i="1"/>
  <c r="U267" i="1"/>
  <c r="S268" i="1"/>
  <c r="W267" i="1"/>
  <c r="U268" i="1" l="1"/>
  <c r="T268" i="1"/>
  <c r="S269" i="1"/>
  <c r="W268" i="1"/>
  <c r="V268" i="1"/>
  <c r="T269" i="1" l="1"/>
  <c r="W269" i="1"/>
  <c r="V269" i="1"/>
  <c r="U269" i="1"/>
  <c r="S270" i="1"/>
  <c r="W270" i="1" l="1"/>
  <c r="V270" i="1"/>
  <c r="T270" i="1"/>
  <c r="U270" i="1"/>
  <c r="S271" i="1"/>
  <c r="T271" i="1" l="1"/>
  <c r="S272" i="1"/>
  <c r="W271" i="1"/>
  <c r="U271" i="1"/>
  <c r="V271" i="1"/>
  <c r="S273" i="1" l="1"/>
  <c r="W272" i="1"/>
  <c r="T272" i="1"/>
  <c r="V272" i="1"/>
  <c r="U272" i="1"/>
  <c r="T273" i="1" l="1"/>
  <c r="S274" i="1"/>
  <c r="W273" i="1"/>
  <c r="V273" i="1"/>
  <c r="U273" i="1"/>
  <c r="T274" i="1" l="1"/>
  <c r="S275" i="1"/>
  <c r="U274" i="1"/>
  <c r="W274" i="1"/>
  <c r="V274" i="1"/>
  <c r="T275" i="1" l="1"/>
  <c r="S276" i="1"/>
  <c r="V275" i="1"/>
  <c r="U275" i="1"/>
  <c r="W275" i="1"/>
  <c r="U276" i="1" l="1"/>
  <c r="W276" i="1"/>
  <c r="V276" i="1"/>
  <c r="T276" i="1"/>
  <c r="S277" i="1"/>
  <c r="T277" i="1" l="1"/>
  <c r="S278" i="1"/>
  <c r="W277" i="1"/>
  <c r="U277" i="1"/>
  <c r="V277" i="1"/>
  <c r="V278" i="1" l="1"/>
  <c r="T278" i="1"/>
  <c r="W278" i="1"/>
  <c r="S279" i="1"/>
  <c r="U278" i="1"/>
  <c r="T279" i="1" l="1"/>
  <c r="U279" i="1"/>
  <c r="W279" i="1"/>
  <c r="V279" i="1"/>
  <c r="S280" i="1"/>
  <c r="W280" i="1" l="1"/>
  <c r="U280" i="1"/>
  <c r="S281" i="1"/>
  <c r="V280" i="1"/>
  <c r="T280" i="1"/>
  <c r="T281" i="1" l="1"/>
  <c r="W281" i="1"/>
  <c r="V281" i="1"/>
  <c r="S282" i="1"/>
  <c r="U281" i="1"/>
  <c r="V282" i="1" l="1"/>
  <c r="S283" i="1"/>
  <c r="W282" i="1"/>
  <c r="T282" i="1"/>
  <c r="U282" i="1"/>
  <c r="T283" i="1" l="1"/>
  <c r="V283" i="1"/>
  <c r="U283" i="1"/>
  <c r="S284" i="1"/>
  <c r="W283" i="1"/>
  <c r="W284" i="1" l="1"/>
  <c r="V284" i="1"/>
  <c r="U284" i="1"/>
  <c r="T284" i="1"/>
  <c r="S285" i="1"/>
  <c r="T285" i="1" l="1"/>
  <c r="W285" i="1"/>
  <c r="V285" i="1"/>
  <c r="U285" i="1"/>
  <c r="S286" i="1"/>
  <c r="S287" i="1" l="1"/>
  <c r="W286" i="1"/>
  <c r="T286" i="1"/>
  <c r="V286" i="1"/>
  <c r="U286" i="1"/>
  <c r="T287" i="1" l="1"/>
  <c r="W287" i="1"/>
  <c r="U287" i="1"/>
  <c r="S288" i="1"/>
  <c r="V287" i="1"/>
  <c r="W288" i="1" l="1"/>
  <c r="U288" i="1"/>
  <c r="V288" i="1"/>
  <c r="T288" i="1"/>
  <c r="S289" i="1"/>
  <c r="T289" i="1" l="1"/>
  <c r="W289" i="1"/>
  <c r="V289" i="1"/>
  <c r="U289" i="1"/>
  <c r="S290" i="1"/>
  <c r="U290" i="1" l="1"/>
  <c r="S291" i="1"/>
  <c r="W290" i="1"/>
  <c r="V290" i="1"/>
  <c r="T290" i="1"/>
  <c r="T291" i="1" l="1"/>
  <c r="S292" i="1"/>
  <c r="U291" i="1"/>
  <c r="W291" i="1"/>
  <c r="V291" i="1"/>
  <c r="S293" i="1" l="1"/>
  <c r="T292" i="1"/>
  <c r="V292" i="1"/>
  <c r="U292" i="1"/>
  <c r="W292" i="1"/>
  <c r="T293" i="1" l="1"/>
  <c r="S294" i="1"/>
  <c r="W293" i="1"/>
  <c r="V293" i="1"/>
  <c r="U293" i="1"/>
  <c r="W294" i="1" l="1"/>
  <c r="V294" i="1"/>
  <c r="U294" i="1"/>
  <c r="T294" i="1"/>
  <c r="S295" i="1"/>
  <c r="T295" i="1" l="1"/>
  <c r="U295" i="1"/>
  <c r="S296" i="1"/>
  <c r="W295" i="1"/>
  <c r="V295" i="1"/>
  <c r="S297" i="1" l="1"/>
  <c r="W296" i="1"/>
  <c r="V296" i="1"/>
  <c r="T296" i="1"/>
  <c r="U296" i="1"/>
  <c r="T297" i="1" l="1"/>
  <c r="V297" i="1"/>
  <c r="W297" i="1"/>
  <c r="U297" i="1"/>
  <c r="S298" i="1"/>
  <c r="W298" i="1" l="1"/>
  <c r="S299" i="1"/>
  <c r="T298" i="1"/>
  <c r="U298" i="1"/>
  <c r="V298" i="1"/>
  <c r="T299" i="1" l="1"/>
  <c r="W299" i="1"/>
  <c r="U299" i="1"/>
  <c r="S300" i="1"/>
  <c r="V299" i="1"/>
  <c r="S301" i="1" l="1"/>
  <c r="V300" i="1"/>
  <c r="T300" i="1"/>
  <c r="U300" i="1"/>
  <c r="W300" i="1"/>
  <c r="T301" i="1" l="1"/>
  <c r="V301" i="1"/>
  <c r="W301" i="1"/>
  <c r="U301" i="1"/>
  <c r="S302" i="1"/>
  <c r="S303" i="1" l="1"/>
  <c r="U302" i="1"/>
  <c r="W302" i="1"/>
  <c r="V302" i="1"/>
  <c r="T302" i="1"/>
  <c r="T303" i="1" l="1"/>
  <c r="W303" i="1"/>
  <c r="V303" i="1"/>
  <c r="U303" i="1"/>
  <c r="S304" i="1"/>
  <c r="S305" i="1" l="1"/>
  <c r="T304" i="1"/>
  <c r="U304" i="1"/>
  <c r="W304" i="1"/>
  <c r="V304" i="1"/>
  <c r="T305" i="1" l="1"/>
  <c r="W305" i="1"/>
  <c r="U305" i="1"/>
  <c r="V305" i="1"/>
  <c r="S306" i="1"/>
  <c r="V306" i="1" l="1"/>
  <c r="T306" i="1"/>
  <c r="U306" i="1"/>
  <c r="W306" i="1"/>
  <c r="S307" i="1"/>
  <c r="T307" i="1" l="1"/>
  <c r="S308" i="1"/>
  <c r="W307" i="1"/>
  <c r="V307" i="1"/>
  <c r="U307" i="1"/>
  <c r="U308" i="1" l="1"/>
  <c r="T308" i="1"/>
  <c r="V308" i="1"/>
  <c r="W308" i="1"/>
  <c r="S309" i="1"/>
  <c r="T309" i="1" l="1"/>
  <c r="S310" i="1"/>
  <c r="W309" i="1"/>
  <c r="U309" i="1"/>
  <c r="V309" i="1"/>
  <c r="U310" i="1" l="1"/>
  <c r="T310" i="1"/>
  <c r="W310" i="1"/>
  <c r="V310" i="1"/>
  <c r="S311" i="1"/>
  <c r="T311" i="1" l="1"/>
  <c r="S312" i="1"/>
  <c r="W311" i="1"/>
  <c r="V311" i="1"/>
  <c r="U311" i="1"/>
  <c r="W312" i="1" l="1"/>
  <c r="V312" i="1"/>
  <c r="U312" i="1"/>
  <c r="S313" i="1"/>
  <c r="T312" i="1"/>
  <c r="T313" i="1" l="1"/>
  <c r="W313" i="1"/>
  <c r="V313" i="1"/>
  <c r="U313" i="1"/>
  <c r="S314" i="1"/>
  <c r="T314" i="1" l="1"/>
  <c r="W314" i="1"/>
  <c r="U314" i="1"/>
  <c r="S315" i="1"/>
  <c r="V314" i="1"/>
  <c r="T315" i="1" l="1"/>
  <c r="S316" i="1"/>
  <c r="U315" i="1"/>
  <c r="V315" i="1"/>
  <c r="W315" i="1"/>
  <c r="U316" i="1" l="1"/>
  <c r="S317" i="1"/>
  <c r="W316" i="1"/>
  <c r="V316" i="1"/>
  <c r="T316" i="1"/>
  <c r="T317" i="1" l="1"/>
  <c r="V317" i="1"/>
  <c r="W317" i="1"/>
  <c r="U317" i="1"/>
  <c r="S318" i="1"/>
  <c r="V318" i="1" l="1"/>
  <c r="T318" i="1"/>
  <c r="S319" i="1"/>
  <c r="W318" i="1"/>
  <c r="U318" i="1"/>
  <c r="T319" i="1" l="1"/>
  <c r="W319" i="1"/>
  <c r="V319" i="1"/>
  <c r="U319" i="1"/>
  <c r="S320" i="1"/>
  <c r="S321" i="1" l="1"/>
  <c r="W320" i="1"/>
  <c r="U320" i="1"/>
  <c r="V320" i="1"/>
  <c r="T320" i="1"/>
  <c r="T321" i="1" l="1"/>
  <c r="V321" i="1"/>
  <c r="S322" i="1"/>
  <c r="W321" i="1"/>
  <c r="U321" i="1"/>
  <c r="S323" i="1" l="1"/>
  <c r="W322" i="1"/>
  <c r="V322" i="1"/>
  <c r="T322" i="1"/>
  <c r="U322" i="1"/>
  <c r="T323" i="1" l="1"/>
  <c r="S324" i="1"/>
  <c r="U323" i="1"/>
  <c r="W323" i="1"/>
  <c r="V323" i="1"/>
  <c r="S325" i="1" l="1"/>
  <c r="T324" i="1"/>
  <c r="W324" i="1"/>
  <c r="V324" i="1"/>
  <c r="U324" i="1"/>
  <c r="T325" i="1" l="1"/>
  <c r="S326" i="1"/>
  <c r="V325" i="1"/>
  <c r="W325" i="1"/>
  <c r="U325" i="1"/>
  <c r="S327" i="1" l="1"/>
  <c r="W326" i="1"/>
  <c r="V326" i="1"/>
  <c r="U326" i="1"/>
  <c r="T326" i="1"/>
  <c r="T327" i="1" l="1"/>
  <c r="U327" i="1"/>
  <c r="W327" i="1"/>
  <c r="V327" i="1"/>
  <c r="S328" i="1"/>
  <c r="S329" i="1" l="1"/>
  <c r="V328" i="1"/>
  <c r="U328" i="1"/>
  <c r="W328" i="1"/>
  <c r="T328" i="1"/>
  <c r="T329" i="1" l="1"/>
  <c r="W329" i="1"/>
  <c r="U329" i="1"/>
  <c r="S330" i="1"/>
  <c r="V329" i="1"/>
  <c r="S331" i="1" l="1"/>
  <c r="W330" i="1"/>
  <c r="V330" i="1"/>
  <c r="U330" i="1"/>
  <c r="T330" i="1"/>
  <c r="T331" i="1" l="1"/>
  <c r="W331" i="1"/>
  <c r="V331" i="1"/>
  <c r="U331" i="1"/>
  <c r="S332" i="1"/>
  <c r="S333" i="1" l="1"/>
  <c r="U332" i="1"/>
  <c r="V332" i="1"/>
  <c r="W332" i="1"/>
  <c r="T332" i="1"/>
  <c r="T333" i="1" l="1"/>
  <c r="W333" i="1"/>
  <c r="U333" i="1"/>
  <c r="V333" i="1"/>
  <c r="S334" i="1"/>
  <c r="S335" i="1" l="1"/>
  <c r="W334" i="1"/>
  <c r="U334" i="1"/>
  <c r="V334" i="1"/>
  <c r="T334" i="1"/>
  <c r="T335" i="1" l="1"/>
  <c r="S336" i="1"/>
  <c r="W335" i="1"/>
  <c r="V335" i="1"/>
  <c r="U335" i="1"/>
  <c r="S337" i="1" l="1"/>
  <c r="U336" i="1"/>
  <c r="T336" i="1"/>
  <c r="V336" i="1"/>
  <c r="W336" i="1"/>
  <c r="T337" i="1" l="1"/>
  <c r="S338" i="1"/>
  <c r="V337" i="1"/>
  <c r="W337" i="1"/>
  <c r="U337" i="1"/>
  <c r="S339" i="1" l="1"/>
  <c r="U338" i="1"/>
  <c r="W338" i="1"/>
  <c r="V338" i="1"/>
  <c r="T338" i="1"/>
  <c r="T339" i="1" l="1"/>
  <c r="S340" i="1"/>
  <c r="W339" i="1"/>
  <c r="V339" i="1"/>
  <c r="U339" i="1"/>
  <c r="S341" i="1" l="1"/>
  <c r="W340" i="1"/>
  <c r="U340" i="1"/>
  <c r="V340" i="1"/>
  <c r="T340" i="1"/>
  <c r="T341" i="1" l="1"/>
  <c r="U341" i="1"/>
  <c r="W341" i="1"/>
  <c r="V341" i="1"/>
  <c r="S342" i="1"/>
  <c r="S343" i="1" l="1"/>
  <c r="W342" i="1"/>
  <c r="T342" i="1"/>
  <c r="V342" i="1"/>
  <c r="U342" i="1"/>
  <c r="T343" i="1" l="1"/>
  <c r="V343" i="1"/>
  <c r="W343" i="1"/>
  <c r="U343" i="1"/>
  <c r="S344" i="1"/>
  <c r="S345" i="1" l="1"/>
  <c r="V344" i="1"/>
  <c r="T344" i="1"/>
  <c r="U344" i="1"/>
  <c r="W344" i="1"/>
  <c r="T345" i="1" l="1"/>
  <c r="V345" i="1"/>
  <c r="S346" i="1"/>
  <c r="W345" i="1"/>
  <c r="U345" i="1"/>
  <c r="W346" i="1" l="1"/>
  <c r="V346" i="1"/>
  <c r="U346" i="1"/>
  <c r="T346" i="1"/>
  <c r="S347" i="1"/>
  <c r="W347" i="1" l="1"/>
  <c r="U347" i="1"/>
  <c r="S348" i="1"/>
  <c r="T347" i="1"/>
  <c r="V347" i="1"/>
  <c r="S349" i="1" l="1"/>
  <c r="W348" i="1"/>
  <c r="V348" i="1"/>
  <c r="T348" i="1"/>
  <c r="U348" i="1"/>
  <c r="W349" i="1" l="1"/>
  <c r="V349" i="1"/>
  <c r="T349" i="1"/>
  <c r="S350" i="1"/>
  <c r="U349" i="1"/>
  <c r="S351" i="1" l="1"/>
  <c r="W350" i="1"/>
  <c r="V350" i="1"/>
  <c r="U350" i="1"/>
  <c r="T350" i="1"/>
  <c r="W351" i="1" l="1"/>
  <c r="V351" i="1"/>
  <c r="T351" i="1"/>
  <c r="U351" i="1"/>
  <c r="S352" i="1"/>
  <c r="W352" i="1" l="1"/>
  <c r="V352" i="1"/>
  <c r="S353" i="1"/>
  <c r="U352" i="1"/>
  <c r="T352" i="1"/>
  <c r="W353" i="1" l="1"/>
  <c r="U353" i="1"/>
  <c r="S354" i="1"/>
  <c r="T353" i="1"/>
  <c r="V353" i="1"/>
  <c r="U354" i="1" l="1"/>
  <c r="T354" i="1"/>
  <c r="V354" i="1"/>
  <c r="W354" i="1"/>
  <c r="S355" i="1"/>
  <c r="S356" i="1" l="1"/>
  <c r="V355" i="1"/>
  <c r="T355" i="1"/>
  <c r="U355" i="1"/>
  <c r="W355" i="1"/>
  <c r="W356" i="1" l="1"/>
  <c r="V356" i="1"/>
  <c r="U356" i="1"/>
  <c r="S357" i="1"/>
  <c r="T356" i="1"/>
  <c r="V357" i="1" l="1"/>
  <c r="W357" i="1"/>
  <c r="U357" i="1"/>
  <c r="T357" i="1"/>
  <c r="S358" i="1"/>
  <c r="S359" i="1" l="1"/>
  <c r="V358" i="1"/>
  <c r="W358" i="1"/>
  <c r="T358" i="1"/>
  <c r="U358" i="1"/>
  <c r="W359" i="1" l="1"/>
  <c r="T359" i="1"/>
  <c r="V359" i="1"/>
  <c r="U359" i="1"/>
  <c r="S360" i="1"/>
  <c r="V360" i="1" l="1"/>
  <c r="S361" i="1"/>
  <c r="T360" i="1"/>
  <c r="W360" i="1"/>
  <c r="U360" i="1"/>
  <c r="W361" i="1" l="1"/>
  <c r="S362" i="1"/>
  <c r="U361" i="1"/>
  <c r="V361" i="1"/>
  <c r="T361" i="1"/>
  <c r="V362" i="1" l="1"/>
  <c r="U362" i="1"/>
  <c r="T362" i="1"/>
  <c r="S363" i="1"/>
  <c r="W362" i="1"/>
  <c r="V363" i="1" l="1"/>
  <c r="U363" i="1"/>
  <c r="S364" i="1"/>
  <c r="W363" i="1"/>
  <c r="T363" i="1"/>
  <c r="S365" i="1" l="1"/>
  <c r="V364" i="1"/>
  <c r="U364" i="1"/>
  <c r="T364" i="1"/>
  <c r="W364" i="1"/>
  <c r="T365" i="1" l="1"/>
  <c r="W365" i="1"/>
  <c r="U365" i="1"/>
  <c r="AF2" i="1" s="1"/>
  <c r="V365" i="1"/>
</calcChain>
</file>

<file path=xl/sharedStrings.xml><?xml version="1.0" encoding="utf-8"?>
<sst xmlns="http://schemas.openxmlformats.org/spreadsheetml/2006/main" count="38" uniqueCount="34">
  <si>
    <t>exercise_id</t>
  </si>
  <si>
    <t>timestamp</t>
  </si>
  <si>
    <t>date</t>
  </si>
  <si>
    <t>duration</t>
  </si>
  <si>
    <t>distance</t>
  </si>
  <si>
    <t>hr_avg</t>
  </si>
  <si>
    <t>hr_max</t>
  </si>
  <si>
    <t>temp</t>
  </si>
  <si>
    <t>wind</t>
  </si>
  <si>
    <t>pace avg</t>
  </si>
  <si>
    <t>RPE</t>
  </si>
  <si>
    <t>shoes</t>
  </si>
  <si>
    <t>notes</t>
  </si>
  <si>
    <t>time values</t>
  </si>
  <si>
    <t>pace calc</t>
  </si>
  <si>
    <t>pace format</t>
  </si>
  <si>
    <t>pace</t>
  </si>
  <si>
    <t>id</t>
  </si>
  <si>
    <t>weekly</t>
  </si>
  <si>
    <t>time</t>
  </si>
  <si>
    <t>rpe avg</t>
  </si>
  <si>
    <t>totals</t>
  </si>
  <si>
    <t>letter</t>
  </si>
  <si>
    <t>total km</t>
  </si>
  <si>
    <t>shoe format</t>
  </si>
  <si>
    <t>total time</t>
  </si>
  <si>
    <t>w time</t>
  </si>
  <si>
    <t>w dist</t>
  </si>
  <si>
    <t>w pace</t>
  </si>
  <si>
    <t>w rpe</t>
  </si>
  <si>
    <t>as</t>
  </si>
  <si>
    <t>a5</t>
  </si>
  <si>
    <t>Grand Total</t>
  </si>
  <si>
    <t>a6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</si>
</sst>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;@"/>
    <numFmt numFmtId="165" formatCode="yyyy\-mm\-dd\ h:mm:ss"/>
    <numFmt numFmtId="166" formatCode="dd\-mmm"/>
    <numFmt numFmtId="167" formatCode="0.0"/>
  </numFmts>
  <fonts count="7">
    <font>
      <sz val="11"/>
      <color theme="1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 Unicode MS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CEE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2" tint="-0.499984740745262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164" fontId="0" fillId="0" borderId="0" xfId="0" applyNumberFormat="1"/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2" fontId="0" fillId="0" borderId="0" xfId="0" applyNumberFormat="1"/>
    <xf numFmtId="0" fontId="1" fillId="3" borderId="0" xfId="0" applyFont="1" applyFill="1" applyAlignment="1">
      <alignment horizontal="center" vertical="center" wrapText="1"/>
    </xf>
    <xf numFmtId="46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45" fontId="0" fillId="0" borderId="0" xfId="0" applyNumberFormat="1"/>
    <xf numFmtId="46" fontId="3" fillId="0" borderId="0" xfId="0" applyNumberFormat="1" applyFont="1" applyAlignment="1">
      <alignment vertical="center"/>
    </xf>
    <xf numFmtId="164" fontId="4" fillId="0" borderId="0" xfId="0" applyNumberFormat="1" applyFont="1" applyAlignment="1">
      <alignment horizontal="left"/>
    </xf>
    <xf numFmtId="0" fontId="1" fillId="2" borderId="1" xfId="0" applyFont="1" applyFill="1" applyBorder="1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45" fontId="0" fillId="0" borderId="0" xfId="0" applyNumberFormat="1" applyAlignment="1">
      <alignment horizontal="left"/>
    </xf>
    <xf numFmtId="0" fontId="0" fillId="0" borderId="0" xfId="0" pivotButton="1"/>
    <xf numFmtId="46" fontId="0" fillId="0" borderId="0" xfId="0" applyNumberFormat="1" applyAlignment="1">
      <alignment horizontal="left"/>
    </xf>
    <xf numFmtId="0" fontId="1" fillId="2" borderId="0" xfId="0" applyFont="1" applyFill="1" applyAlignment="1">
      <alignment horizontal="left" vertical="center" wrapText="1"/>
    </xf>
    <xf numFmtId="0" fontId="2" fillId="4" borderId="0" xfId="0" applyFont="1" applyFill="1"/>
    <xf numFmtId="0" fontId="2" fillId="5" borderId="0" xfId="0" applyFont="1" applyFill="1"/>
    <xf numFmtId="0" fontId="0" fillId="5" borderId="0" xfId="0" applyFill="1" applyAlignment="1">
      <alignment horizontal="left"/>
    </xf>
    <xf numFmtId="0" fontId="0" fillId="5" borderId="0" xfId="0" applyFill="1"/>
    <xf numFmtId="0" fontId="2" fillId="5" borderId="0" xfId="0" applyFont="1" applyFill="1" applyAlignment="1">
      <alignment horizontal="left"/>
    </xf>
    <xf numFmtId="1" fontId="0" fillId="0" borderId="0" xfId="0" applyNumberFormat="1" applyAlignment="1">
      <alignment horizontal="right"/>
    </xf>
    <xf numFmtId="164" fontId="1" fillId="2" borderId="0" xfId="0" applyNumberFormat="1" applyFont="1" applyFill="1" applyAlignment="1">
      <alignment horizontal="center" vertical="center" wrapText="1"/>
    </xf>
    <xf numFmtId="164" fontId="4" fillId="0" borderId="0" xfId="0" applyNumberFormat="1" applyFont="1" applyAlignment="1">
      <alignment horizontal="right"/>
    </xf>
    <xf numFmtId="164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166" fontId="0" fillId="0" borderId="0" xfId="0" applyNumberFormat="1"/>
    <xf numFmtId="167" fontId="0" fillId="0" borderId="0" xfId="0" applyNumberFormat="1" applyAlignment="1">
      <alignment horizontal="left"/>
    </xf>
    <xf numFmtId="167" fontId="0" fillId="0" borderId="0" xfId="0" applyNumberFormat="1" applyAlignment="1">
      <alignment horizontal="right"/>
    </xf>
    <xf numFmtId="2" fontId="3" fillId="0" borderId="0" xfId="0" applyNumberFormat="1" applyFont="1" applyAlignment="1">
      <alignment vertical="center"/>
    </xf>
    <xf numFmtId="2" fontId="0" fillId="0" borderId="0" xfId="0" applyNumberFormat="1" applyAlignment="1">
      <alignment horizontal="left"/>
    </xf>
    <xf numFmtId="0" fontId="0" fillId="5" borderId="0" xfId="0" applyFill="1" applyAlignment="1">
      <alignment horizontal="right"/>
    </xf>
    <xf numFmtId="1" fontId="0" fillId="5" borderId="0" xfId="0" applyNumberFormat="1" applyFill="1" applyAlignment="1">
      <alignment horizontal="right"/>
    </xf>
    <xf numFmtId="167" fontId="0" fillId="5" borderId="0" xfId="0" applyNumberFormat="1" applyFill="1" applyAlignment="1">
      <alignment horizontal="left"/>
    </xf>
    <xf numFmtId="45" fontId="0" fillId="5" borderId="0" xfId="0" applyNumberFormat="1" applyFill="1" applyAlignment="1">
      <alignment horizontal="left"/>
    </xf>
    <xf numFmtId="45" fontId="2" fillId="5" borderId="0" xfId="0" applyNumberFormat="1" applyFont="1" applyFill="1" applyAlignment="1">
      <alignment horizontal="left"/>
    </xf>
    <xf numFmtId="0" fontId="6" fillId="5" borderId="0" xfId="0" applyFont="1" applyFill="1"/>
    <xf numFmtId="0" fontId="0" fillId="6" borderId="0" xfId="0" applyFill="1"/>
    <xf numFmtId="0" fontId="0" fillId="6" borderId="0" xfId="0" applyFill="1" applyAlignment="1">
      <alignment horizontal="left"/>
    </xf>
    <xf numFmtId="167" fontId="0" fillId="6" borderId="0" xfId="0" applyNumberFormat="1" applyFill="1" applyAlignment="1">
      <alignment horizontal="left"/>
    </xf>
    <xf numFmtId="164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1" fontId="0" fillId="6" borderId="0" xfId="0" applyNumberFormat="1" applyFill="1" applyAlignment="1">
      <alignment horizontal="right"/>
    </xf>
    <xf numFmtId="166" fontId="0" fillId="5" borderId="0" xfId="0" applyNumberFormat="1" applyFill="1" applyAlignment="1">
      <alignment horizontal="right"/>
    </xf>
    <xf numFmtId="166" fontId="0" fillId="6" borderId="0" xfId="0" applyNumberFormat="1" applyFill="1"/>
    <xf numFmtId="166" fontId="0" fillId="5" borderId="0" xfId="0" applyNumberFormat="1" applyFill="1"/>
    <xf numFmtId="164" fontId="5" fillId="6" borderId="0" xfId="0" applyNumberFormat="1" applyFont="1" applyFill="1" applyAlignment="1">
      <alignment horizontal="right"/>
    </xf>
    <xf numFmtId="0" fontId="2" fillId="6" borderId="0" xfId="0" applyFont="1" applyFill="1"/>
    <xf numFmtId="0" fontId="2" fillId="6" borderId="0" xfId="0" applyFont="1" applyFill="1" applyAlignment="1">
      <alignment horizontal="right"/>
    </xf>
    <xf numFmtId="0" fontId="2" fillId="6" borderId="0" xfId="0" applyFont="1" applyFill="1" applyAlignment="1">
      <alignment horizontal="left"/>
    </xf>
    <xf numFmtId="164" fontId="4" fillId="5" borderId="0" xfId="0" applyNumberFormat="1" applyFont="1" applyFill="1" applyAlignment="1">
      <alignment horizontal="right"/>
    </xf>
    <xf numFmtId="0" fontId="0" fillId="0" borderId="0" xfId="0" applyNumberFormat="1" applyAlignment="1">
      <alignment horizontal="left"/>
    </xf>
  </cellXfs>
  <cellStyles count="1">
    <cellStyle name="Normal" xfId="0" builtinId="0"/>
  </cellStyles>
  <dxfs count="18">
    <dxf>
      <numFmt numFmtId="167" formatCode="0.0"/>
      <alignment horizontal="left" vertical="bottom"/>
    </dxf>
    <dxf>
      <numFmt numFmtId="1" formatCode="0"/>
      <alignment horizontal="right" vertical="bottom"/>
    </dxf>
    <dxf>
      <alignment horizontal="left" vertical="bottom"/>
    </dxf>
    <dxf>
      <alignment horizontal="left" vertical="bottom"/>
    </dxf>
    <dxf>
      <numFmt numFmtId="2" formatCode="0.00"/>
      <alignment horizontal="right" vertical="bottom"/>
    </dxf>
    <dxf>
      <alignment horizontal="left" vertical="bottom"/>
    </dxf>
    <dxf>
      <font>
        <b/>
      </font>
      <numFmt numFmtId="164" formatCode="[$-409]d\-mmm;@"/>
      <alignment horizontal="right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rgb="FFF2CEEF"/>
        </patternFill>
      </fill>
      <alignment horizontal="center" vertical="center" wrapText="1"/>
    </dxf>
    <dxf>
      <numFmt numFmtId="2" formatCode="0.00"/>
    </dxf>
    <dxf>
      <numFmt numFmtId="2" formatCode="0.00"/>
    </dxf>
    <dxf>
      <numFmt numFmtId="28" formatCode="mm:ss"/>
    </dxf>
    <dxf>
      <numFmt numFmtId="31" formatCode="[h]:mm:ss"/>
    </dxf>
    <dxf>
      <alignment horizontal="left"/>
    </dxf>
    <dxf>
      <alignment horizontal="left"/>
    </dxf>
    <dxf>
      <font>
        <b/>
      </font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ont>
        <color theme="0"/>
      </font>
      <fill>
        <patternFill>
          <bgColor theme="1" tint="4.9989318521683403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Oskari Sulkakoski" refreshedDate="46017.509548148148" createdVersion="8" refreshedVersion="8" minRefreshableVersion="3" recordCount="364" xr:uid="{00000000-000A-0000-FFFF-FFFF1D000000}">
  <cacheSource type="worksheet">
    <worksheetSource ref="S1:W365" sheet="2026"/>
  </cacheSource>
  <cacheFields count="5">
    <cacheField name="weekly" numFmtId="164">
      <sharedItems count="1">
        <s v="weekly"/>
      </sharedItems>
    </cacheField>
    <cacheField name="distance" numFmtId="2">
      <sharedItems/>
    </cacheField>
    <cacheField name="time" numFmtId="46">
      <sharedItems/>
    </cacheField>
    <cacheField name="pace avg" numFmtId="46">
      <sharedItems/>
    </cacheField>
    <cacheField name="rpe avg" numFmtId="2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4"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  <r>
    <x v="0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2" cacheId="7" applyNumberFormats="0" applyBorderFormats="0" applyFontFormats="0" applyPatternFormats="0" applyAlignmentFormats="0" applyWidthHeightFormats="1" dataCaption="totals" updatedVersion="8" minRefreshableVersion="3" useAutoFormatting="1" itemPrintTitles="1" createdVersion="8" indent="0" outline="1" outlineData="1" multipleFieldFilters="0" rowHeaderCaption="weekly">
  <location ref="X1:AB4" firstHeaderRow="1" firstDataRow="2" firstDataCol="1"/>
  <pivotFields count="5">
    <pivotField name="week" axis="axisRow" numFmtId="164" showAll="0" sortType="descending">
      <items count="2">
        <item x="0"/>
        <item t="default"/>
      </items>
    </pivotField>
    <pivotField dataField="1" showAll="0"/>
    <pivotField dataField="1" showAll="0"/>
    <pivotField dataField="1" showAll="0"/>
    <pivotField dataField="1" showAll="0"/>
  </pivotFields>
  <rowFields count="1">
    <field x="0"/>
  </rowFields>
  <rowItems count="2"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w time" fld="2" baseField="0" baseItem="0" numFmtId="46"/>
    <dataField name="w dist" fld="1" baseField="0" baseItem="0"/>
    <dataField name="w pace" fld="3" subtotal="max" baseField="0" baseItem="0" numFmtId="45"/>
    <dataField name="w rpe" fld="4" subtotal="max" baseField="0" baseItem="0" numFmtId="2"/>
  </dataFields>
  <formats count="7">
    <format dxfId="14">
      <pivotArea dataOnly="0" labelOnly="1" grandRow="1" outline="0" fieldPosition="0"/>
    </format>
    <format dxfId="13">
      <pivotArea outline="0" collapsedLevelsAreSubtotals="1" fieldPosition="0"/>
    </format>
    <format dxfId="12">
      <pivotArea dataOnly="0" labelOnly="1" grandRow="1" outline="0" fieldPosition="0"/>
    </format>
    <format dxfId="1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8">
      <pivotArea dataOnly="0" labelOnly="1" outline="0" fieldPosition="0">
        <references count="1">
          <reference field="4294967294" count="1">
            <x v="3"/>
          </reference>
        </references>
      </pivotArea>
    </format>
  </formats>
  <pivotTableStyleInfo name="PivotStyleLight20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5" displayName="Table15" ref="A1:I365" totalsRowShown="0" headerRowDxfId="7">
  <autoFilter ref="A1:I365" xr:uid="{00000000-0009-0000-0100-000001000000}"/>
  <sortState xmlns:xlrd2="http://schemas.microsoft.com/office/spreadsheetml/2017/richdata2" ref="A2:I365">
    <sortCondition ref="C1:C365"/>
  </sortState>
  <tableColumns count="9">
    <tableColumn id="9" xr3:uid="{00000000-0010-0000-0000-000009000000}" name="exercise_id"/>
    <tableColumn id="2" xr3:uid="{00000000-0010-0000-0000-000002000000}" name="timestamp"/>
    <tableColumn id="3" xr3:uid="{00000000-0010-0000-0000-000003000000}" name="date" dataDxfId="6"/>
    <tableColumn id="4" xr3:uid="{00000000-0010-0000-0000-000004000000}" name="duration" dataDxfId="5"/>
    <tableColumn id="5" xr3:uid="{00000000-0010-0000-0000-000005000000}" name="distance" dataDxfId="4"/>
    <tableColumn id="6" xr3:uid="{00000000-0010-0000-0000-000006000000}" name="hr_avg" dataDxfId="3"/>
    <tableColumn id="7" xr3:uid="{00000000-0010-0000-0000-000007000000}" name="hr_max" dataDxfId="2"/>
    <tableColumn id="10" xr3:uid="{00000000-0010-0000-0000-00000A000000}" name="temp" dataDxfId="1"/>
    <tableColumn id="11" xr3:uid="{00000000-0010-0000-0000-00000B000000}" name="wind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F375"/>
  <sheetViews>
    <sheetView tabSelected="1" topLeftCell="C1" zoomScale="85" zoomScaleNormal="85" workbookViewId="0">
      <pane ySplit="1815" activePane="bottomLeft"/>
      <selection activeCell="U1" sqref="U1"/>
      <selection pane="bottomLeft" activeCell="M10" sqref="M10"/>
    </sheetView>
  </sheetViews>
  <sheetFormatPr defaultRowHeight="15"/>
  <cols>
    <col min="1" max="1" width="18.85546875" customWidth="1"/>
    <col min="2" max="2" width="18.42578125" customWidth="1"/>
    <col min="3" max="3" width="10.7109375" style="27" customWidth="1"/>
    <col min="4" max="4" width="10.5703125" style="14" customWidth="1"/>
    <col min="5" max="5" width="9" style="3" customWidth="1"/>
    <col min="6" max="6" width="9.7109375" style="14" customWidth="1"/>
    <col min="7" max="7" width="11.5703125" style="14" customWidth="1"/>
    <col min="8" max="8" width="7.42578125" style="25" customWidth="1"/>
    <col min="9" max="9" width="7.42578125" style="32" customWidth="1"/>
    <col min="10" max="10" width="8.28515625" style="14" customWidth="1"/>
    <col min="11" max="11" width="8.7109375" style="14" customWidth="1"/>
    <col min="12" max="12" width="11.85546875" style="14" customWidth="1"/>
    <col min="13" max="13" width="50.28515625" customWidth="1"/>
    <col min="14" max="14" width="11.85546875" customWidth="1"/>
    <col min="15" max="15" width="9.5703125" customWidth="1"/>
    <col min="16" max="16" width="12" customWidth="1"/>
    <col min="17" max="17" width="6.85546875" customWidth="1"/>
    <col min="18" max="18" width="4.140625" customWidth="1"/>
    <col min="19" max="19" width="14.140625" customWidth="1"/>
    <col min="20" max="20" width="8.42578125" customWidth="1"/>
    <col min="21" max="21" width="7.140625" customWidth="1"/>
    <col min="22" max="22" width="15" customWidth="1"/>
    <col min="23" max="23" width="9.42578125" customWidth="1"/>
    <col min="24" max="24" width="11.28515625" style="14" bestFit="1" customWidth="1"/>
    <col min="25" max="25" width="7.140625" style="18" bestFit="1" customWidth="1"/>
    <col min="26" max="26" width="6.28515625" style="14" bestFit="1" customWidth="1"/>
    <col min="27" max="27" width="7.140625" style="16" bestFit="1" customWidth="1"/>
    <col min="28" max="28" width="6" style="34" bestFit="1" customWidth="1"/>
    <col min="30" max="30" width="9.140625" customWidth="1"/>
    <col min="33" max="36" width="13" customWidth="1"/>
    <col min="37" max="37" width="10.85546875" customWidth="1"/>
    <col min="38" max="38" width="11.7109375" customWidth="1"/>
    <col min="39" max="39" width="9.140625" customWidth="1"/>
  </cols>
  <sheetData>
    <row r="1" spans="1:32" ht="48" customHeight="1">
      <c r="A1" s="7" t="s">
        <v>0</v>
      </c>
      <c r="B1" s="7" t="s">
        <v>1</v>
      </c>
      <c r="C1" s="26" t="s">
        <v>2</v>
      </c>
      <c r="D1" s="7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8" t="s">
        <v>17</v>
      </c>
      <c r="S1" s="8" t="s">
        <v>18</v>
      </c>
      <c r="T1" s="8" t="s">
        <v>4</v>
      </c>
      <c r="U1" s="8" t="s">
        <v>19</v>
      </c>
      <c r="V1" s="8" t="s">
        <v>9</v>
      </c>
      <c r="W1" s="8" t="s">
        <v>20</v>
      </c>
      <c r="X1"/>
      <c r="Y1" s="17" t="s">
        <v>21</v>
      </c>
      <c r="Z1"/>
      <c r="AA1"/>
      <c r="AB1"/>
      <c r="AC1" s="12" t="s">
        <v>22</v>
      </c>
      <c r="AD1" s="7" t="s">
        <v>23</v>
      </c>
      <c r="AE1" s="7" t="s">
        <v>24</v>
      </c>
      <c r="AF1" s="7" t="s">
        <v>25</v>
      </c>
    </row>
    <row r="2" spans="1:32">
      <c r="I2" s="31"/>
      <c r="J2" s="16"/>
      <c r="N2" s="6" t="str">
        <f t="shared" ref="N2:N65" si="0">IF(D2="","",TIMEVALUE(D2))</f>
        <v/>
      </c>
      <c r="O2" s="4" t="str">
        <f t="shared" ref="O2:O65" si="1">IF(D2="","",HOUR(D2)*60 + MINUTE(D2) + SECOND(D2)/60)</f>
        <v/>
      </c>
      <c r="P2" s="4" t="str">
        <f t="shared" ref="P2:P65" si="2">IF(O2="","",O2/E2)</f>
        <v/>
      </c>
      <c r="Q2" t="str">
        <f t="shared" ref="Q2:Q65" si="3">IF(O2="", "", IF(MOD(P2,1)*60&gt;=59.5, TEXT(INT(P2)+1, "0") &amp; ":00", TEXT(INT(P2), "0") &amp; ":" &amp; TEXT(ROUND(MOD(P2,1)*60, 0), "00")))</f>
        <v/>
      </c>
      <c r="R2" t="str">
        <f t="shared" ref="R2:R65" si="4">IF(A2&lt;&gt;"",A2,"")</f>
        <v/>
      </c>
      <c r="S2" s="1" t="str">
        <f t="shared" ref="S2:S65" si="5">IFERROR(IF(ISBLANK(C2), S1,INDEX($C$2:$C$365, MATCH(R2,$R$2:$R$365, 0)) - WEEKDAY(INDEX($C$2:$C$365, MATCH(R2,$R$2:$R$365, 0)), 2) + 1), "")</f>
        <v>weekly</v>
      </c>
      <c r="T2" s="4" t="str">
        <f t="shared" ref="T2:T65" si="6">IF(S2="","",IF(S2=S1, "", SUMIFS(E:E,S:S, S2)))</f>
        <v/>
      </c>
      <c r="U2" s="10" t="str">
        <f t="shared" ref="U2:U65" si="7">IF(S2="","",IF(S2=S1, "", SUMIFS(N:N,S:S, S2)))</f>
        <v/>
      </c>
      <c r="V2" s="10" t="str">
        <f t="shared" ref="V2:V65" si="8">IF(S2="","",IF(S2=S1, "", AVERAGEIF(S:S,S2,J:J)))</f>
        <v/>
      </c>
      <c r="W2" s="33" t="str">
        <f t="shared" ref="W2:W65" si="9">IF(S2="","",IF(S2=S1, "", AVERAGEIF(S:S,S2,K:K)))</f>
        <v/>
      </c>
      <c r="X2" s="17" t="s">
        <v>18</v>
      </c>
      <c r="Y2" t="s">
        <v>26</v>
      </c>
      <c r="Z2" t="s">
        <v>27</v>
      </c>
      <c r="AA2" t="s">
        <v>28</v>
      </c>
      <c r="AB2" s="4" t="s">
        <v>29</v>
      </c>
      <c r="AC2" t="s">
        <v>30</v>
      </c>
      <c r="AD2" s="4">
        <f>SUMIFS($E$2:$E$365, $L$2:$L$365, $AC$2, $E$2:$E$365, "&lt;&gt;*-*") +AE2</f>
        <v>76</v>
      </c>
      <c r="AE2">
        <v>76</v>
      </c>
      <c r="AF2" s="6">
        <f>SUM(U2:U368)</f>
        <v>0</v>
      </c>
    </row>
    <row r="3" spans="1:32">
      <c r="I3" s="31"/>
      <c r="J3" s="16"/>
      <c r="N3" s="6" t="str">
        <f t="shared" si="0"/>
        <v/>
      </c>
      <c r="O3" s="4" t="str">
        <f t="shared" si="1"/>
        <v/>
      </c>
      <c r="P3" s="4" t="str">
        <f t="shared" si="2"/>
        <v/>
      </c>
      <c r="Q3" t="str">
        <f t="shared" si="3"/>
        <v/>
      </c>
      <c r="R3" t="str">
        <f t="shared" si="4"/>
        <v/>
      </c>
      <c r="S3" s="1" t="str">
        <f t="shared" si="5"/>
        <v>weekly</v>
      </c>
      <c r="T3" s="4" t="str">
        <f t="shared" si="6"/>
        <v/>
      </c>
      <c r="U3" s="10" t="str">
        <f t="shared" si="7"/>
        <v/>
      </c>
      <c r="V3" s="10" t="str">
        <f t="shared" si="8"/>
        <v/>
      </c>
      <c r="W3" s="33" t="str">
        <f t="shared" si="9"/>
        <v/>
      </c>
      <c r="X3" s="15" t="s">
        <v>18</v>
      </c>
      <c r="Y3" s="18">
        <v>0</v>
      </c>
      <c r="Z3" s="55">
        <v>0</v>
      </c>
      <c r="AA3" s="16">
        <v>0</v>
      </c>
      <c r="AB3" s="34">
        <v>0</v>
      </c>
      <c r="AC3" t="s">
        <v>31</v>
      </c>
      <c r="AD3" s="4">
        <f>SUMIFS($E$2:$E$365, $L$2:$L$365, $AC$3, $E$2:$E$365, "&lt;&gt;*-*") +AE3</f>
        <v>44</v>
      </c>
      <c r="AE3">
        <v>44</v>
      </c>
    </row>
    <row r="4" spans="1:32">
      <c r="I4" s="31"/>
      <c r="J4" s="16"/>
      <c r="N4" s="6" t="str">
        <f t="shared" si="0"/>
        <v/>
      </c>
      <c r="O4" s="4" t="str">
        <f t="shared" si="1"/>
        <v/>
      </c>
      <c r="P4" s="4" t="str">
        <f t="shared" si="2"/>
        <v/>
      </c>
      <c r="Q4" t="str">
        <f t="shared" si="3"/>
        <v/>
      </c>
      <c r="R4" t="str">
        <f t="shared" si="4"/>
        <v/>
      </c>
      <c r="S4" s="1" t="str">
        <f t="shared" si="5"/>
        <v>weekly</v>
      </c>
      <c r="T4" s="4" t="str">
        <f t="shared" si="6"/>
        <v/>
      </c>
      <c r="U4" s="10" t="str">
        <f t="shared" si="7"/>
        <v/>
      </c>
      <c r="V4" s="10" t="str">
        <f t="shared" si="8"/>
        <v/>
      </c>
      <c r="W4" s="33" t="str">
        <f t="shared" si="9"/>
        <v/>
      </c>
      <c r="X4" s="11" t="s">
        <v>32</v>
      </c>
      <c r="Y4" s="18">
        <v>0</v>
      </c>
      <c r="Z4" s="55">
        <v>0</v>
      </c>
      <c r="AA4" s="16">
        <v>0</v>
      </c>
      <c r="AB4" s="34">
        <v>0</v>
      </c>
      <c r="AC4" t="s">
        <v>33</v>
      </c>
      <c r="AD4" s="4">
        <f>SUMIFS($E$2:$E$365, $L$2:$L$365, $AC$4, $E$2:$E$365, "&lt;&gt;*-*") +AE4</f>
        <v>5</v>
      </c>
      <c r="AE4">
        <v>5</v>
      </c>
    </row>
    <row r="5" spans="1:32">
      <c r="I5" s="31"/>
      <c r="J5" s="16"/>
      <c r="N5" s="6" t="str">
        <f t="shared" si="0"/>
        <v/>
      </c>
      <c r="O5" s="4" t="str">
        <f t="shared" si="1"/>
        <v/>
      </c>
      <c r="P5" s="4" t="str">
        <f t="shared" si="2"/>
        <v/>
      </c>
      <c r="Q5" t="str">
        <f t="shared" si="3"/>
        <v/>
      </c>
      <c r="R5" t="str">
        <f t="shared" si="4"/>
        <v/>
      </c>
      <c r="S5" s="1" t="str">
        <f t="shared" si="5"/>
        <v>weekly</v>
      </c>
      <c r="T5" s="4" t="str">
        <f t="shared" si="6"/>
        <v/>
      </c>
      <c r="U5" s="10" t="str">
        <f t="shared" si="7"/>
        <v/>
      </c>
      <c r="V5" s="10" t="str">
        <f t="shared" si="8"/>
        <v/>
      </c>
      <c r="W5" s="33" t="str">
        <f t="shared" si="9"/>
        <v/>
      </c>
    </row>
    <row r="6" spans="1:32">
      <c r="I6" s="31"/>
      <c r="J6" s="16"/>
      <c r="N6" s="6" t="str">
        <f t="shared" si="0"/>
        <v/>
      </c>
      <c r="O6" s="4" t="str">
        <f t="shared" si="1"/>
        <v/>
      </c>
      <c r="P6" s="4" t="str">
        <f t="shared" si="2"/>
        <v/>
      </c>
      <c r="Q6" t="str">
        <f t="shared" si="3"/>
        <v/>
      </c>
      <c r="R6" t="str">
        <f t="shared" si="4"/>
        <v/>
      </c>
      <c r="S6" s="1" t="str">
        <f t="shared" si="5"/>
        <v>weekly</v>
      </c>
      <c r="T6" s="4" t="str">
        <f t="shared" si="6"/>
        <v/>
      </c>
      <c r="U6" s="10" t="str">
        <f t="shared" si="7"/>
        <v/>
      </c>
      <c r="V6" s="10" t="str">
        <f t="shared" si="8"/>
        <v/>
      </c>
      <c r="W6" s="33" t="str">
        <f t="shared" si="9"/>
        <v/>
      </c>
      <c r="AD6" s="4"/>
    </row>
    <row r="7" spans="1:32">
      <c r="I7" s="31"/>
      <c r="J7" s="16"/>
      <c r="N7" s="6" t="str">
        <f t="shared" si="0"/>
        <v/>
      </c>
      <c r="O7" s="4" t="str">
        <f t="shared" si="1"/>
        <v/>
      </c>
      <c r="P7" s="4" t="str">
        <f t="shared" si="2"/>
        <v/>
      </c>
      <c r="Q7" t="str">
        <f t="shared" si="3"/>
        <v/>
      </c>
      <c r="R7" t="str">
        <f t="shared" si="4"/>
        <v/>
      </c>
      <c r="S7" s="1" t="str">
        <f t="shared" si="5"/>
        <v>weekly</v>
      </c>
      <c r="T7" s="4" t="str">
        <f t="shared" si="6"/>
        <v/>
      </c>
      <c r="U7" s="10" t="str">
        <f t="shared" si="7"/>
        <v/>
      </c>
      <c r="V7" s="10" t="str">
        <f t="shared" si="8"/>
        <v/>
      </c>
      <c r="W7" s="33" t="str">
        <f t="shared" si="9"/>
        <v/>
      </c>
      <c r="AD7" s="4"/>
    </row>
    <row r="8" spans="1:32">
      <c r="I8" s="31"/>
      <c r="J8" s="16"/>
      <c r="N8" s="6" t="str">
        <f t="shared" si="0"/>
        <v/>
      </c>
      <c r="O8" s="4" t="str">
        <f t="shared" si="1"/>
        <v/>
      </c>
      <c r="P8" s="4" t="str">
        <f t="shared" si="2"/>
        <v/>
      </c>
      <c r="Q8" t="str">
        <f t="shared" si="3"/>
        <v/>
      </c>
      <c r="R8" t="str">
        <f t="shared" si="4"/>
        <v/>
      </c>
      <c r="S8" s="1" t="str">
        <f t="shared" si="5"/>
        <v>weekly</v>
      </c>
      <c r="T8" s="4" t="str">
        <f t="shared" si="6"/>
        <v/>
      </c>
      <c r="U8" s="10" t="str">
        <f t="shared" si="7"/>
        <v/>
      </c>
      <c r="V8" s="10" t="str">
        <f t="shared" si="8"/>
        <v/>
      </c>
      <c r="W8" s="33" t="str">
        <f t="shared" si="9"/>
        <v/>
      </c>
      <c r="AD8" s="4"/>
    </row>
    <row r="9" spans="1:32">
      <c r="I9" s="31"/>
      <c r="J9" s="16"/>
      <c r="N9" s="6" t="str">
        <f t="shared" si="0"/>
        <v/>
      </c>
      <c r="O9" s="4" t="str">
        <f t="shared" si="1"/>
        <v/>
      </c>
      <c r="P9" s="4" t="str">
        <f t="shared" si="2"/>
        <v/>
      </c>
      <c r="Q9" t="str">
        <f t="shared" si="3"/>
        <v/>
      </c>
      <c r="R9" t="str">
        <f t="shared" si="4"/>
        <v/>
      </c>
      <c r="S9" s="1" t="str">
        <f t="shared" si="5"/>
        <v>weekly</v>
      </c>
      <c r="T9" s="4" t="str">
        <f t="shared" si="6"/>
        <v/>
      </c>
      <c r="U9" s="10" t="str">
        <f t="shared" si="7"/>
        <v/>
      </c>
      <c r="V9" s="10" t="str">
        <f t="shared" si="8"/>
        <v/>
      </c>
      <c r="W9" s="33" t="str">
        <f t="shared" si="9"/>
        <v/>
      </c>
      <c r="AD9" s="4"/>
    </row>
    <row r="10" spans="1:32">
      <c r="I10" s="31"/>
      <c r="J10" s="16"/>
      <c r="N10" s="6" t="str">
        <f t="shared" si="0"/>
        <v/>
      </c>
      <c r="O10" s="4" t="str">
        <f t="shared" si="1"/>
        <v/>
      </c>
      <c r="P10" s="4" t="str">
        <f t="shared" si="2"/>
        <v/>
      </c>
      <c r="Q10" t="str">
        <f t="shared" si="3"/>
        <v/>
      </c>
      <c r="R10" t="str">
        <f t="shared" si="4"/>
        <v/>
      </c>
      <c r="S10" s="1" t="str">
        <f t="shared" si="5"/>
        <v>weekly</v>
      </c>
      <c r="T10" s="4" t="str">
        <f t="shared" si="6"/>
        <v/>
      </c>
      <c r="U10" s="10" t="str">
        <f t="shared" si="7"/>
        <v/>
      </c>
      <c r="V10" s="10" t="str">
        <f t="shared" si="8"/>
        <v/>
      </c>
      <c r="W10" s="33" t="str">
        <f t="shared" si="9"/>
        <v/>
      </c>
      <c r="AD10" s="4"/>
    </row>
    <row r="11" spans="1:32">
      <c r="I11" s="31"/>
      <c r="J11" s="16"/>
      <c r="N11" s="6" t="str">
        <f t="shared" si="0"/>
        <v/>
      </c>
      <c r="O11" s="4" t="str">
        <f t="shared" si="1"/>
        <v/>
      </c>
      <c r="P11" s="4" t="str">
        <f t="shared" si="2"/>
        <v/>
      </c>
      <c r="Q11" t="str">
        <f t="shared" si="3"/>
        <v/>
      </c>
      <c r="R11" t="str">
        <f t="shared" si="4"/>
        <v/>
      </c>
      <c r="S11" s="1" t="str">
        <f t="shared" si="5"/>
        <v>weekly</v>
      </c>
      <c r="T11" s="4" t="str">
        <f t="shared" si="6"/>
        <v/>
      </c>
      <c r="U11" s="10" t="str">
        <f t="shared" si="7"/>
        <v/>
      </c>
      <c r="V11" s="10" t="str">
        <f t="shared" si="8"/>
        <v/>
      </c>
      <c r="W11" s="33" t="str">
        <f t="shared" si="9"/>
        <v/>
      </c>
    </row>
    <row r="12" spans="1:32">
      <c r="I12" s="31"/>
      <c r="J12" s="16"/>
      <c r="N12" s="6" t="str">
        <f t="shared" si="0"/>
        <v/>
      </c>
      <c r="O12" s="4" t="str">
        <f t="shared" si="1"/>
        <v/>
      </c>
      <c r="P12" s="4" t="str">
        <f t="shared" si="2"/>
        <v/>
      </c>
      <c r="Q12" t="str">
        <f t="shared" si="3"/>
        <v/>
      </c>
      <c r="R12" t="str">
        <f t="shared" si="4"/>
        <v/>
      </c>
      <c r="S12" s="1" t="str">
        <f t="shared" si="5"/>
        <v>weekly</v>
      </c>
      <c r="T12" s="4" t="str">
        <f t="shared" si="6"/>
        <v/>
      </c>
      <c r="U12" s="10" t="str">
        <f t="shared" si="7"/>
        <v/>
      </c>
      <c r="V12" s="10" t="str">
        <f t="shared" si="8"/>
        <v/>
      </c>
      <c r="W12" s="33" t="str">
        <f t="shared" si="9"/>
        <v/>
      </c>
    </row>
    <row r="13" spans="1:32">
      <c r="I13" s="31"/>
      <c r="J13" s="16"/>
      <c r="N13" s="6" t="str">
        <f t="shared" si="0"/>
        <v/>
      </c>
      <c r="O13" s="4" t="str">
        <f t="shared" si="1"/>
        <v/>
      </c>
      <c r="P13" s="4" t="str">
        <f t="shared" si="2"/>
        <v/>
      </c>
      <c r="Q13" t="str">
        <f t="shared" si="3"/>
        <v/>
      </c>
      <c r="R13" t="str">
        <f t="shared" si="4"/>
        <v/>
      </c>
      <c r="S13" s="1" t="str">
        <f t="shared" si="5"/>
        <v>weekly</v>
      </c>
      <c r="T13" s="4" t="str">
        <f t="shared" si="6"/>
        <v/>
      </c>
      <c r="U13" s="10" t="str">
        <f t="shared" si="7"/>
        <v/>
      </c>
      <c r="V13" s="10" t="str">
        <f t="shared" si="8"/>
        <v/>
      </c>
      <c r="W13" s="33" t="str">
        <f t="shared" si="9"/>
        <v/>
      </c>
    </row>
    <row r="14" spans="1:32">
      <c r="I14" s="31"/>
      <c r="J14" s="16"/>
      <c r="N14" s="6" t="str">
        <f t="shared" si="0"/>
        <v/>
      </c>
      <c r="O14" s="4" t="str">
        <f t="shared" si="1"/>
        <v/>
      </c>
      <c r="P14" s="4" t="str">
        <f t="shared" si="2"/>
        <v/>
      </c>
      <c r="Q14" t="str">
        <f t="shared" si="3"/>
        <v/>
      </c>
      <c r="R14" t="str">
        <f t="shared" si="4"/>
        <v/>
      </c>
      <c r="S14" s="1" t="str">
        <f t="shared" si="5"/>
        <v>weekly</v>
      </c>
      <c r="T14" s="4" t="str">
        <f t="shared" si="6"/>
        <v/>
      </c>
      <c r="U14" s="10" t="str">
        <f t="shared" si="7"/>
        <v/>
      </c>
      <c r="V14" s="10" t="str">
        <f t="shared" si="8"/>
        <v/>
      </c>
      <c r="W14" s="33" t="str">
        <f t="shared" si="9"/>
        <v/>
      </c>
    </row>
    <row r="15" spans="1:32">
      <c r="I15" s="31"/>
      <c r="J15" s="16"/>
      <c r="N15" s="6" t="str">
        <f t="shared" si="0"/>
        <v/>
      </c>
      <c r="O15" s="4" t="str">
        <f t="shared" si="1"/>
        <v/>
      </c>
      <c r="P15" s="4" t="str">
        <f t="shared" si="2"/>
        <v/>
      </c>
      <c r="Q15" t="str">
        <f t="shared" si="3"/>
        <v/>
      </c>
      <c r="R15" t="str">
        <f t="shared" si="4"/>
        <v/>
      </c>
      <c r="S15" s="1" t="str">
        <f t="shared" si="5"/>
        <v>weekly</v>
      </c>
      <c r="T15" s="4" t="str">
        <f t="shared" si="6"/>
        <v/>
      </c>
      <c r="U15" s="10" t="str">
        <f t="shared" si="7"/>
        <v/>
      </c>
      <c r="V15" s="10" t="str">
        <f t="shared" si="8"/>
        <v/>
      </c>
      <c r="W15" s="33" t="str">
        <f t="shared" si="9"/>
        <v/>
      </c>
    </row>
    <row r="16" spans="1:32">
      <c r="I16" s="31"/>
      <c r="J16" s="16"/>
      <c r="N16" s="6" t="str">
        <f t="shared" si="0"/>
        <v/>
      </c>
      <c r="O16" s="4" t="str">
        <f t="shared" si="1"/>
        <v/>
      </c>
      <c r="P16" s="4" t="str">
        <f t="shared" si="2"/>
        <v/>
      </c>
      <c r="Q16" t="str">
        <f t="shared" si="3"/>
        <v/>
      </c>
      <c r="R16" t="str">
        <f t="shared" si="4"/>
        <v/>
      </c>
      <c r="S16" s="1" t="str">
        <f t="shared" si="5"/>
        <v>weekly</v>
      </c>
      <c r="T16" s="4" t="str">
        <f t="shared" si="6"/>
        <v/>
      </c>
      <c r="U16" s="10" t="str">
        <f t="shared" si="7"/>
        <v/>
      </c>
      <c r="V16" s="10" t="str">
        <f t="shared" si="8"/>
        <v/>
      </c>
      <c r="W16" s="33" t="str">
        <f t="shared" si="9"/>
        <v/>
      </c>
    </row>
    <row r="17" spans="9:23">
      <c r="I17" s="31"/>
      <c r="J17" s="16"/>
      <c r="N17" s="6" t="str">
        <f t="shared" si="0"/>
        <v/>
      </c>
      <c r="O17" s="4" t="str">
        <f t="shared" si="1"/>
        <v/>
      </c>
      <c r="P17" s="4" t="str">
        <f t="shared" si="2"/>
        <v/>
      </c>
      <c r="Q17" t="str">
        <f t="shared" si="3"/>
        <v/>
      </c>
      <c r="R17" t="str">
        <f t="shared" si="4"/>
        <v/>
      </c>
      <c r="S17" s="1" t="str">
        <f t="shared" si="5"/>
        <v>weekly</v>
      </c>
      <c r="T17" s="4" t="str">
        <f t="shared" si="6"/>
        <v/>
      </c>
      <c r="U17" s="10" t="str">
        <f t="shared" si="7"/>
        <v/>
      </c>
      <c r="V17" s="10" t="str">
        <f t="shared" si="8"/>
        <v/>
      </c>
      <c r="W17" s="33" t="str">
        <f t="shared" si="9"/>
        <v/>
      </c>
    </row>
    <row r="18" spans="9:23">
      <c r="I18" s="31"/>
      <c r="J18" s="16"/>
      <c r="N18" s="6" t="str">
        <f t="shared" si="0"/>
        <v/>
      </c>
      <c r="O18" s="4" t="str">
        <f t="shared" si="1"/>
        <v/>
      </c>
      <c r="P18" s="4" t="str">
        <f t="shared" si="2"/>
        <v/>
      </c>
      <c r="Q18" t="str">
        <f t="shared" si="3"/>
        <v/>
      </c>
      <c r="R18" t="str">
        <f t="shared" si="4"/>
        <v/>
      </c>
      <c r="S18" s="1" t="str">
        <f t="shared" si="5"/>
        <v>weekly</v>
      </c>
      <c r="T18" s="4" t="str">
        <f t="shared" si="6"/>
        <v/>
      </c>
      <c r="U18" s="10" t="str">
        <f t="shared" si="7"/>
        <v/>
      </c>
      <c r="V18" s="10" t="str">
        <f t="shared" si="8"/>
        <v/>
      </c>
      <c r="W18" s="33" t="str">
        <f t="shared" si="9"/>
        <v/>
      </c>
    </row>
    <row r="19" spans="9:23">
      <c r="I19" s="31"/>
      <c r="J19" s="16"/>
      <c r="N19" s="6" t="str">
        <f t="shared" si="0"/>
        <v/>
      </c>
      <c r="O19" s="4" t="str">
        <f t="shared" si="1"/>
        <v/>
      </c>
      <c r="P19" s="4" t="str">
        <f t="shared" si="2"/>
        <v/>
      </c>
      <c r="Q19" t="str">
        <f t="shared" si="3"/>
        <v/>
      </c>
      <c r="R19" t="str">
        <f t="shared" si="4"/>
        <v/>
      </c>
      <c r="S19" s="1" t="str">
        <f t="shared" si="5"/>
        <v>weekly</v>
      </c>
      <c r="T19" s="4" t="str">
        <f t="shared" si="6"/>
        <v/>
      </c>
      <c r="U19" s="10" t="str">
        <f t="shared" si="7"/>
        <v/>
      </c>
      <c r="V19" s="10" t="str">
        <f t="shared" si="8"/>
        <v/>
      </c>
      <c r="W19" s="33" t="str">
        <f t="shared" si="9"/>
        <v/>
      </c>
    </row>
    <row r="20" spans="9:23">
      <c r="I20" s="31"/>
      <c r="J20" s="16"/>
      <c r="N20" s="6" t="str">
        <f t="shared" si="0"/>
        <v/>
      </c>
      <c r="O20" s="4" t="str">
        <f t="shared" si="1"/>
        <v/>
      </c>
      <c r="P20" s="4" t="str">
        <f t="shared" si="2"/>
        <v/>
      </c>
      <c r="Q20" t="str">
        <f t="shared" si="3"/>
        <v/>
      </c>
      <c r="R20" t="str">
        <f t="shared" si="4"/>
        <v/>
      </c>
      <c r="S20" s="1" t="str">
        <f t="shared" si="5"/>
        <v>weekly</v>
      </c>
      <c r="T20" s="4" t="str">
        <f t="shared" si="6"/>
        <v/>
      </c>
      <c r="U20" s="10" t="str">
        <f t="shared" si="7"/>
        <v/>
      </c>
      <c r="V20" s="10" t="str">
        <f t="shared" si="8"/>
        <v/>
      </c>
      <c r="W20" s="33" t="str">
        <f t="shared" si="9"/>
        <v/>
      </c>
    </row>
    <row r="21" spans="9:23">
      <c r="I21" s="31"/>
      <c r="J21" s="16"/>
      <c r="N21" s="6" t="str">
        <f t="shared" si="0"/>
        <v/>
      </c>
      <c r="O21" s="4" t="str">
        <f t="shared" si="1"/>
        <v/>
      </c>
      <c r="P21" s="4" t="str">
        <f t="shared" si="2"/>
        <v/>
      </c>
      <c r="Q21" t="str">
        <f t="shared" si="3"/>
        <v/>
      </c>
      <c r="R21" t="str">
        <f t="shared" si="4"/>
        <v/>
      </c>
      <c r="S21" s="1" t="str">
        <f t="shared" si="5"/>
        <v>weekly</v>
      </c>
      <c r="T21" s="4" t="str">
        <f t="shared" si="6"/>
        <v/>
      </c>
      <c r="U21" s="10" t="str">
        <f t="shared" si="7"/>
        <v/>
      </c>
      <c r="V21" s="10" t="str">
        <f t="shared" si="8"/>
        <v/>
      </c>
      <c r="W21" s="33" t="str">
        <f t="shared" si="9"/>
        <v/>
      </c>
    </row>
    <row r="22" spans="9:23">
      <c r="I22" s="31"/>
      <c r="J22" s="16"/>
      <c r="N22" s="6" t="str">
        <f t="shared" si="0"/>
        <v/>
      </c>
      <c r="O22" s="4" t="str">
        <f t="shared" si="1"/>
        <v/>
      </c>
      <c r="P22" s="4" t="str">
        <f t="shared" si="2"/>
        <v/>
      </c>
      <c r="Q22" t="str">
        <f t="shared" si="3"/>
        <v/>
      </c>
      <c r="R22" t="str">
        <f t="shared" si="4"/>
        <v/>
      </c>
      <c r="S22" s="1" t="str">
        <f t="shared" si="5"/>
        <v>weekly</v>
      </c>
      <c r="T22" s="4" t="str">
        <f t="shared" si="6"/>
        <v/>
      </c>
      <c r="U22" s="10" t="str">
        <f t="shared" si="7"/>
        <v/>
      </c>
      <c r="V22" s="10" t="str">
        <f t="shared" si="8"/>
        <v/>
      </c>
      <c r="W22" s="33" t="str">
        <f t="shared" si="9"/>
        <v/>
      </c>
    </row>
    <row r="23" spans="9:23">
      <c r="I23" s="31"/>
      <c r="J23" s="16"/>
      <c r="N23" s="6" t="str">
        <f t="shared" si="0"/>
        <v/>
      </c>
      <c r="O23" s="4" t="str">
        <f t="shared" si="1"/>
        <v/>
      </c>
      <c r="P23" s="4" t="str">
        <f t="shared" si="2"/>
        <v/>
      </c>
      <c r="Q23" t="str">
        <f t="shared" si="3"/>
        <v/>
      </c>
      <c r="R23" t="str">
        <f t="shared" si="4"/>
        <v/>
      </c>
      <c r="S23" s="1" t="str">
        <f t="shared" si="5"/>
        <v>weekly</v>
      </c>
      <c r="T23" s="4" t="str">
        <f t="shared" si="6"/>
        <v/>
      </c>
      <c r="U23" s="10" t="str">
        <f t="shared" si="7"/>
        <v/>
      </c>
      <c r="V23" s="10" t="str">
        <f t="shared" si="8"/>
        <v/>
      </c>
      <c r="W23" s="33" t="str">
        <f t="shared" si="9"/>
        <v/>
      </c>
    </row>
    <row r="24" spans="9:23">
      <c r="I24" s="31"/>
      <c r="J24" s="16"/>
      <c r="N24" s="6" t="str">
        <f t="shared" si="0"/>
        <v/>
      </c>
      <c r="O24" s="4" t="str">
        <f t="shared" si="1"/>
        <v/>
      </c>
      <c r="P24" s="4" t="str">
        <f t="shared" si="2"/>
        <v/>
      </c>
      <c r="Q24" t="str">
        <f t="shared" si="3"/>
        <v/>
      </c>
      <c r="R24" t="str">
        <f t="shared" si="4"/>
        <v/>
      </c>
      <c r="S24" s="1" t="str">
        <f t="shared" si="5"/>
        <v>weekly</v>
      </c>
      <c r="T24" s="4" t="str">
        <f t="shared" si="6"/>
        <v/>
      </c>
      <c r="U24" s="10" t="str">
        <f t="shared" si="7"/>
        <v/>
      </c>
      <c r="V24" s="10" t="str">
        <f t="shared" si="8"/>
        <v/>
      </c>
      <c r="W24" s="33" t="str">
        <f t="shared" si="9"/>
        <v/>
      </c>
    </row>
    <row r="25" spans="9:23">
      <c r="I25" s="31"/>
      <c r="J25" s="16"/>
      <c r="N25" s="6" t="str">
        <f t="shared" si="0"/>
        <v/>
      </c>
      <c r="O25" s="4" t="str">
        <f t="shared" si="1"/>
        <v/>
      </c>
      <c r="P25" s="4" t="str">
        <f t="shared" si="2"/>
        <v/>
      </c>
      <c r="Q25" t="str">
        <f t="shared" si="3"/>
        <v/>
      </c>
      <c r="R25" t="str">
        <f t="shared" si="4"/>
        <v/>
      </c>
      <c r="S25" s="1" t="str">
        <f t="shared" si="5"/>
        <v>weekly</v>
      </c>
      <c r="T25" s="4" t="str">
        <f t="shared" si="6"/>
        <v/>
      </c>
      <c r="U25" s="10" t="str">
        <f t="shared" si="7"/>
        <v/>
      </c>
      <c r="V25" s="10" t="str">
        <f t="shared" si="8"/>
        <v/>
      </c>
      <c r="W25" s="33" t="str">
        <f t="shared" si="9"/>
        <v/>
      </c>
    </row>
    <row r="26" spans="9:23">
      <c r="I26" s="31"/>
      <c r="J26" s="16"/>
      <c r="N26" s="6" t="str">
        <f t="shared" si="0"/>
        <v/>
      </c>
      <c r="O26" s="4" t="str">
        <f t="shared" si="1"/>
        <v/>
      </c>
      <c r="P26" s="4" t="str">
        <f t="shared" si="2"/>
        <v/>
      </c>
      <c r="Q26" t="str">
        <f t="shared" si="3"/>
        <v/>
      </c>
      <c r="R26" t="str">
        <f t="shared" si="4"/>
        <v/>
      </c>
      <c r="S26" s="1" t="str">
        <f t="shared" si="5"/>
        <v>weekly</v>
      </c>
      <c r="T26" s="4" t="str">
        <f t="shared" si="6"/>
        <v/>
      </c>
      <c r="U26" s="10" t="str">
        <f t="shared" si="7"/>
        <v/>
      </c>
      <c r="V26" s="10" t="str">
        <f t="shared" si="8"/>
        <v/>
      </c>
      <c r="W26" s="33" t="str">
        <f t="shared" si="9"/>
        <v/>
      </c>
    </row>
    <row r="27" spans="9:23">
      <c r="I27" s="31"/>
      <c r="J27" s="16"/>
      <c r="N27" s="6" t="str">
        <f t="shared" si="0"/>
        <v/>
      </c>
      <c r="O27" s="4" t="str">
        <f t="shared" si="1"/>
        <v/>
      </c>
      <c r="P27" s="4" t="str">
        <f t="shared" si="2"/>
        <v/>
      </c>
      <c r="Q27" t="str">
        <f t="shared" si="3"/>
        <v/>
      </c>
      <c r="R27" t="str">
        <f t="shared" si="4"/>
        <v/>
      </c>
      <c r="S27" s="1" t="str">
        <f t="shared" si="5"/>
        <v>weekly</v>
      </c>
      <c r="T27" s="4" t="str">
        <f t="shared" si="6"/>
        <v/>
      </c>
      <c r="U27" s="10" t="str">
        <f t="shared" si="7"/>
        <v/>
      </c>
      <c r="V27" s="10" t="str">
        <f t="shared" si="8"/>
        <v/>
      </c>
      <c r="W27" s="33" t="str">
        <f t="shared" si="9"/>
        <v/>
      </c>
    </row>
    <row r="28" spans="9:23">
      <c r="I28" s="31"/>
      <c r="J28" s="16"/>
      <c r="N28" s="6" t="str">
        <f t="shared" si="0"/>
        <v/>
      </c>
      <c r="O28" s="4" t="str">
        <f t="shared" si="1"/>
        <v/>
      </c>
      <c r="P28" s="4" t="str">
        <f t="shared" si="2"/>
        <v/>
      </c>
      <c r="Q28" t="str">
        <f t="shared" si="3"/>
        <v/>
      </c>
      <c r="R28" t="str">
        <f t="shared" si="4"/>
        <v/>
      </c>
      <c r="S28" s="1" t="str">
        <f t="shared" si="5"/>
        <v>weekly</v>
      </c>
      <c r="T28" s="4" t="str">
        <f t="shared" si="6"/>
        <v/>
      </c>
      <c r="U28" s="10" t="str">
        <f t="shared" si="7"/>
        <v/>
      </c>
      <c r="V28" s="10" t="str">
        <f t="shared" si="8"/>
        <v/>
      </c>
      <c r="W28" s="33" t="str">
        <f t="shared" si="9"/>
        <v/>
      </c>
    </row>
    <row r="29" spans="9:23">
      <c r="I29" s="31"/>
      <c r="J29" s="16"/>
      <c r="N29" s="6" t="str">
        <f t="shared" si="0"/>
        <v/>
      </c>
      <c r="O29" s="4" t="str">
        <f t="shared" si="1"/>
        <v/>
      </c>
      <c r="P29" s="4" t="str">
        <f t="shared" si="2"/>
        <v/>
      </c>
      <c r="Q29" t="str">
        <f t="shared" si="3"/>
        <v/>
      </c>
      <c r="R29" t="str">
        <f t="shared" si="4"/>
        <v/>
      </c>
      <c r="S29" s="1" t="str">
        <f t="shared" si="5"/>
        <v>weekly</v>
      </c>
      <c r="T29" s="4" t="str">
        <f t="shared" si="6"/>
        <v/>
      </c>
      <c r="U29" s="10" t="str">
        <f t="shared" si="7"/>
        <v/>
      </c>
      <c r="V29" s="10" t="str">
        <f t="shared" si="8"/>
        <v/>
      </c>
      <c r="W29" s="33" t="str">
        <f t="shared" si="9"/>
        <v/>
      </c>
    </row>
    <row r="30" spans="9:23">
      <c r="I30" s="31"/>
      <c r="J30" s="16"/>
      <c r="N30" s="6" t="str">
        <f t="shared" si="0"/>
        <v/>
      </c>
      <c r="O30" s="4" t="str">
        <f t="shared" si="1"/>
        <v/>
      </c>
      <c r="P30" s="4" t="str">
        <f t="shared" si="2"/>
        <v/>
      </c>
      <c r="Q30" t="str">
        <f t="shared" si="3"/>
        <v/>
      </c>
      <c r="R30" t="str">
        <f t="shared" si="4"/>
        <v/>
      </c>
      <c r="S30" s="1" t="str">
        <f t="shared" si="5"/>
        <v>weekly</v>
      </c>
      <c r="T30" s="4" t="str">
        <f t="shared" si="6"/>
        <v/>
      </c>
      <c r="U30" s="10" t="str">
        <f t="shared" si="7"/>
        <v/>
      </c>
      <c r="V30" s="10" t="str">
        <f t="shared" si="8"/>
        <v/>
      </c>
      <c r="W30" s="33" t="str">
        <f t="shared" si="9"/>
        <v/>
      </c>
    </row>
    <row r="31" spans="9:23">
      <c r="I31" s="31"/>
      <c r="J31" s="16"/>
      <c r="N31" s="6" t="str">
        <f t="shared" si="0"/>
        <v/>
      </c>
      <c r="O31" s="4" t="str">
        <f t="shared" si="1"/>
        <v/>
      </c>
      <c r="P31" s="4" t="str">
        <f t="shared" si="2"/>
        <v/>
      </c>
      <c r="Q31" t="str">
        <f t="shared" si="3"/>
        <v/>
      </c>
      <c r="R31" t="str">
        <f t="shared" si="4"/>
        <v/>
      </c>
      <c r="S31" s="1" t="str">
        <f t="shared" si="5"/>
        <v>weekly</v>
      </c>
      <c r="T31" s="4" t="str">
        <f t="shared" si="6"/>
        <v/>
      </c>
      <c r="U31" s="10" t="str">
        <f t="shared" si="7"/>
        <v/>
      </c>
      <c r="V31" s="10" t="str">
        <f t="shared" si="8"/>
        <v/>
      </c>
      <c r="W31" s="33" t="str">
        <f t="shared" si="9"/>
        <v/>
      </c>
    </row>
    <row r="32" spans="9:23">
      <c r="I32" s="31"/>
      <c r="J32" s="16"/>
      <c r="N32" s="6" t="str">
        <f t="shared" si="0"/>
        <v/>
      </c>
      <c r="O32" s="4" t="str">
        <f t="shared" si="1"/>
        <v/>
      </c>
      <c r="P32" s="4" t="str">
        <f t="shared" si="2"/>
        <v/>
      </c>
      <c r="Q32" t="str">
        <f t="shared" si="3"/>
        <v/>
      </c>
      <c r="R32" t="str">
        <f t="shared" si="4"/>
        <v/>
      </c>
      <c r="S32" s="1" t="str">
        <f t="shared" si="5"/>
        <v>weekly</v>
      </c>
      <c r="T32" s="4" t="str">
        <f t="shared" si="6"/>
        <v/>
      </c>
      <c r="U32" s="10" t="str">
        <f t="shared" si="7"/>
        <v/>
      </c>
      <c r="V32" s="10" t="str">
        <f t="shared" si="8"/>
        <v/>
      </c>
      <c r="W32" s="33" t="str">
        <f t="shared" si="9"/>
        <v/>
      </c>
    </row>
    <row r="33" spans="2:23">
      <c r="I33" s="31"/>
      <c r="J33" s="16"/>
      <c r="N33" s="6" t="str">
        <f t="shared" si="0"/>
        <v/>
      </c>
      <c r="O33" s="4" t="str">
        <f t="shared" si="1"/>
        <v/>
      </c>
      <c r="P33" s="4" t="str">
        <f t="shared" si="2"/>
        <v/>
      </c>
      <c r="Q33" t="str">
        <f t="shared" si="3"/>
        <v/>
      </c>
      <c r="R33" t="str">
        <f t="shared" si="4"/>
        <v/>
      </c>
      <c r="S33" s="1" t="str">
        <f t="shared" si="5"/>
        <v>weekly</v>
      </c>
      <c r="T33" s="4" t="str">
        <f t="shared" si="6"/>
        <v/>
      </c>
      <c r="U33" s="10" t="str">
        <f t="shared" si="7"/>
        <v/>
      </c>
      <c r="V33" s="10" t="str">
        <f t="shared" si="8"/>
        <v/>
      </c>
      <c r="W33" s="33" t="str">
        <f t="shared" si="9"/>
        <v/>
      </c>
    </row>
    <row r="34" spans="2:23">
      <c r="I34" s="31"/>
      <c r="J34" s="16"/>
      <c r="N34" s="6" t="str">
        <f t="shared" si="0"/>
        <v/>
      </c>
      <c r="O34" s="4" t="str">
        <f t="shared" si="1"/>
        <v/>
      </c>
      <c r="P34" s="4" t="str">
        <f t="shared" si="2"/>
        <v/>
      </c>
      <c r="Q34" t="str">
        <f t="shared" si="3"/>
        <v/>
      </c>
      <c r="R34" t="str">
        <f t="shared" si="4"/>
        <v/>
      </c>
      <c r="S34" s="1" t="str">
        <f t="shared" si="5"/>
        <v>weekly</v>
      </c>
      <c r="T34" s="4" t="str">
        <f t="shared" si="6"/>
        <v/>
      </c>
      <c r="U34" s="10" t="str">
        <f t="shared" si="7"/>
        <v/>
      </c>
      <c r="V34" s="10" t="str">
        <f t="shared" si="8"/>
        <v/>
      </c>
      <c r="W34" s="33" t="str">
        <f t="shared" si="9"/>
        <v/>
      </c>
    </row>
    <row r="35" spans="2:23">
      <c r="I35" s="31"/>
      <c r="J35" s="16"/>
      <c r="N35" s="6" t="str">
        <f t="shared" si="0"/>
        <v/>
      </c>
      <c r="O35" s="4" t="str">
        <f t="shared" si="1"/>
        <v/>
      </c>
      <c r="P35" s="4" t="str">
        <f t="shared" si="2"/>
        <v/>
      </c>
      <c r="Q35" t="str">
        <f t="shared" si="3"/>
        <v/>
      </c>
      <c r="R35" t="str">
        <f t="shared" si="4"/>
        <v/>
      </c>
      <c r="S35" s="1" t="str">
        <f t="shared" si="5"/>
        <v>weekly</v>
      </c>
      <c r="T35" s="4" t="str">
        <f t="shared" si="6"/>
        <v/>
      </c>
      <c r="U35" s="10" t="str">
        <f t="shared" si="7"/>
        <v/>
      </c>
      <c r="V35" s="10" t="str">
        <f t="shared" si="8"/>
        <v/>
      </c>
      <c r="W35" s="33" t="str">
        <f t="shared" si="9"/>
        <v/>
      </c>
    </row>
    <row r="36" spans="2:23">
      <c r="I36" s="31"/>
      <c r="J36" s="16"/>
      <c r="N36" s="6" t="str">
        <f t="shared" si="0"/>
        <v/>
      </c>
      <c r="O36" s="4" t="str">
        <f t="shared" si="1"/>
        <v/>
      </c>
      <c r="P36" s="4" t="str">
        <f t="shared" si="2"/>
        <v/>
      </c>
      <c r="Q36" t="str">
        <f t="shared" si="3"/>
        <v/>
      </c>
      <c r="R36" t="str">
        <f t="shared" si="4"/>
        <v/>
      </c>
      <c r="S36" s="1" t="str">
        <f t="shared" si="5"/>
        <v>weekly</v>
      </c>
      <c r="T36" s="4" t="str">
        <f t="shared" si="6"/>
        <v/>
      </c>
      <c r="U36" s="10" t="str">
        <f t="shared" si="7"/>
        <v/>
      </c>
      <c r="V36" s="10" t="str">
        <f t="shared" si="8"/>
        <v/>
      </c>
      <c r="W36" s="33" t="str">
        <f t="shared" si="9"/>
        <v/>
      </c>
    </row>
    <row r="37" spans="2:23">
      <c r="B37" s="13"/>
      <c r="D37" s="15"/>
      <c r="I37" s="31"/>
      <c r="J37" s="16"/>
      <c r="N37" s="6" t="str">
        <f t="shared" si="0"/>
        <v/>
      </c>
      <c r="O37" s="4" t="str">
        <f t="shared" si="1"/>
        <v/>
      </c>
      <c r="P37" s="4" t="str">
        <f t="shared" si="2"/>
        <v/>
      </c>
      <c r="Q37" t="str">
        <f t="shared" si="3"/>
        <v/>
      </c>
      <c r="R37" t="str">
        <f t="shared" si="4"/>
        <v/>
      </c>
      <c r="S37" s="1" t="str">
        <f t="shared" si="5"/>
        <v>weekly</v>
      </c>
      <c r="T37" s="4" t="str">
        <f t="shared" si="6"/>
        <v/>
      </c>
      <c r="U37" s="10" t="str">
        <f t="shared" si="7"/>
        <v/>
      </c>
      <c r="V37" s="10" t="str">
        <f t="shared" si="8"/>
        <v/>
      </c>
      <c r="W37" s="33" t="str">
        <f t="shared" si="9"/>
        <v/>
      </c>
    </row>
    <row r="38" spans="2:23">
      <c r="B38" s="13"/>
      <c r="D38" s="15"/>
      <c r="I38" s="31"/>
      <c r="J38" s="16"/>
      <c r="N38" s="6" t="str">
        <f t="shared" si="0"/>
        <v/>
      </c>
      <c r="O38" s="4" t="str">
        <f t="shared" si="1"/>
        <v/>
      </c>
      <c r="P38" s="4" t="str">
        <f t="shared" si="2"/>
        <v/>
      </c>
      <c r="Q38" t="str">
        <f t="shared" si="3"/>
        <v/>
      </c>
      <c r="R38" t="str">
        <f t="shared" si="4"/>
        <v/>
      </c>
      <c r="S38" s="1" t="str">
        <f t="shared" si="5"/>
        <v>weekly</v>
      </c>
      <c r="T38" s="4" t="str">
        <f t="shared" si="6"/>
        <v/>
      </c>
      <c r="U38" s="10" t="str">
        <f t="shared" si="7"/>
        <v/>
      </c>
      <c r="V38" s="10" t="str">
        <f t="shared" si="8"/>
        <v/>
      </c>
      <c r="W38" s="33" t="str">
        <f t="shared" si="9"/>
        <v/>
      </c>
    </row>
    <row r="39" spans="2:23">
      <c r="B39" s="13"/>
      <c r="D39" s="15"/>
      <c r="I39" s="31"/>
      <c r="J39" s="16"/>
      <c r="N39" s="6" t="str">
        <f t="shared" si="0"/>
        <v/>
      </c>
      <c r="O39" s="4" t="str">
        <f t="shared" si="1"/>
        <v/>
      </c>
      <c r="P39" s="4" t="str">
        <f t="shared" si="2"/>
        <v/>
      </c>
      <c r="Q39" t="str">
        <f t="shared" si="3"/>
        <v/>
      </c>
      <c r="R39" t="str">
        <f t="shared" si="4"/>
        <v/>
      </c>
      <c r="S39" s="1" t="str">
        <f t="shared" si="5"/>
        <v>weekly</v>
      </c>
      <c r="T39" s="4" t="str">
        <f t="shared" si="6"/>
        <v/>
      </c>
      <c r="U39" s="10" t="str">
        <f t="shared" si="7"/>
        <v/>
      </c>
      <c r="V39" s="10" t="str">
        <f t="shared" si="8"/>
        <v/>
      </c>
      <c r="W39" s="33" t="str">
        <f t="shared" si="9"/>
        <v/>
      </c>
    </row>
    <row r="40" spans="2:23">
      <c r="B40" s="13"/>
      <c r="D40" s="15"/>
      <c r="I40" s="31"/>
      <c r="J40" s="16"/>
      <c r="N40" s="6" t="str">
        <f t="shared" si="0"/>
        <v/>
      </c>
      <c r="O40" s="4" t="str">
        <f t="shared" si="1"/>
        <v/>
      </c>
      <c r="P40" s="4" t="str">
        <f t="shared" si="2"/>
        <v/>
      </c>
      <c r="Q40" t="str">
        <f t="shared" si="3"/>
        <v/>
      </c>
      <c r="R40" t="str">
        <f t="shared" si="4"/>
        <v/>
      </c>
      <c r="S40" s="1" t="str">
        <f t="shared" si="5"/>
        <v>weekly</v>
      </c>
      <c r="T40" s="4" t="str">
        <f t="shared" si="6"/>
        <v/>
      </c>
      <c r="U40" s="10" t="str">
        <f t="shared" si="7"/>
        <v/>
      </c>
      <c r="V40" s="10" t="str">
        <f t="shared" si="8"/>
        <v/>
      </c>
      <c r="W40" s="33" t="str">
        <f t="shared" si="9"/>
        <v/>
      </c>
    </row>
    <row r="41" spans="2:23">
      <c r="B41" s="13"/>
      <c r="D41" s="15"/>
      <c r="I41" s="31"/>
      <c r="J41" s="16"/>
      <c r="N41" s="6" t="str">
        <f t="shared" si="0"/>
        <v/>
      </c>
      <c r="O41" s="4" t="str">
        <f t="shared" si="1"/>
        <v/>
      </c>
      <c r="P41" s="4" t="str">
        <f t="shared" si="2"/>
        <v/>
      </c>
      <c r="Q41" t="str">
        <f t="shared" si="3"/>
        <v/>
      </c>
      <c r="R41" t="str">
        <f t="shared" si="4"/>
        <v/>
      </c>
      <c r="S41" s="1" t="str">
        <f t="shared" si="5"/>
        <v>weekly</v>
      </c>
      <c r="T41" s="4" t="str">
        <f t="shared" si="6"/>
        <v/>
      </c>
      <c r="U41" s="10" t="str">
        <f t="shared" si="7"/>
        <v/>
      </c>
      <c r="V41" s="10" t="str">
        <f t="shared" si="8"/>
        <v/>
      </c>
      <c r="W41" s="33" t="str">
        <f t="shared" si="9"/>
        <v/>
      </c>
    </row>
    <row r="42" spans="2:23">
      <c r="B42" s="13"/>
      <c r="D42" s="15"/>
      <c r="I42" s="31"/>
      <c r="J42" s="16"/>
      <c r="N42" s="6" t="str">
        <f t="shared" si="0"/>
        <v/>
      </c>
      <c r="O42" s="4" t="str">
        <f t="shared" si="1"/>
        <v/>
      </c>
      <c r="P42" s="4" t="str">
        <f t="shared" si="2"/>
        <v/>
      </c>
      <c r="Q42" t="str">
        <f t="shared" si="3"/>
        <v/>
      </c>
      <c r="R42" t="str">
        <f t="shared" si="4"/>
        <v/>
      </c>
      <c r="S42" s="1" t="str">
        <f t="shared" si="5"/>
        <v>weekly</v>
      </c>
      <c r="T42" s="4" t="str">
        <f t="shared" si="6"/>
        <v/>
      </c>
      <c r="U42" s="10" t="str">
        <f t="shared" si="7"/>
        <v/>
      </c>
      <c r="V42" s="10" t="str">
        <f t="shared" si="8"/>
        <v/>
      </c>
      <c r="W42" s="33" t="str">
        <f t="shared" si="9"/>
        <v/>
      </c>
    </row>
    <row r="43" spans="2:23">
      <c r="B43" s="13"/>
      <c r="D43" s="15"/>
      <c r="I43" s="31"/>
      <c r="J43" s="16"/>
      <c r="N43" s="6" t="str">
        <f t="shared" si="0"/>
        <v/>
      </c>
      <c r="O43" s="4" t="str">
        <f t="shared" si="1"/>
        <v/>
      </c>
      <c r="P43" s="4" t="str">
        <f t="shared" si="2"/>
        <v/>
      </c>
      <c r="Q43" t="str">
        <f t="shared" si="3"/>
        <v/>
      </c>
      <c r="R43" t="str">
        <f t="shared" si="4"/>
        <v/>
      </c>
      <c r="S43" s="1" t="str">
        <f t="shared" si="5"/>
        <v>weekly</v>
      </c>
      <c r="T43" s="4" t="str">
        <f t="shared" si="6"/>
        <v/>
      </c>
      <c r="U43" s="10" t="str">
        <f t="shared" si="7"/>
        <v/>
      </c>
      <c r="V43" s="10" t="str">
        <f t="shared" si="8"/>
        <v/>
      </c>
      <c r="W43" s="33" t="str">
        <f t="shared" si="9"/>
        <v/>
      </c>
    </row>
    <row r="44" spans="2:23">
      <c r="B44" s="13"/>
      <c r="D44" s="15"/>
      <c r="I44" s="31"/>
      <c r="J44" s="16"/>
      <c r="N44" s="6" t="str">
        <f t="shared" si="0"/>
        <v/>
      </c>
      <c r="O44" s="4" t="str">
        <f t="shared" si="1"/>
        <v/>
      </c>
      <c r="P44" s="4" t="str">
        <f t="shared" si="2"/>
        <v/>
      </c>
      <c r="Q44" t="str">
        <f t="shared" si="3"/>
        <v/>
      </c>
      <c r="R44" t="str">
        <f t="shared" si="4"/>
        <v/>
      </c>
      <c r="S44" s="1" t="str">
        <f t="shared" si="5"/>
        <v>weekly</v>
      </c>
      <c r="T44" s="4" t="str">
        <f t="shared" si="6"/>
        <v/>
      </c>
      <c r="U44" s="10" t="str">
        <f t="shared" si="7"/>
        <v/>
      </c>
      <c r="V44" s="10" t="str">
        <f t="shared" si="8"/>
        <v/>
      </c>
      <c r="W44" s="33" t="str">
        <f t="shared" si="9"/>
        <v/>
      </c>
    </row>
    <row r="45" spans="2:23">
      <c r="B45" s="13"/>
      <c r="D45" s="15"/>
      <c r="I45" s="31"/>
      <c r="J45" s="16"/>
      <c r="N45" s="6" t="str">
        <f t="shared" si="0"/>
        <v/>
      </c>
      <c r="O45" s="4" t="str">
        <f t="shared" si="1"/>
        <v/>
      </c>
      <c r="P45" s="4" t="str">
        <f t="shared" si="2"/>
        <v/>
      </c>
      <c r="Q45" t="str">
        <f t="shared" si="3"/>
        <v/>
      </c>
      <c r="R45" t="str">
        <f t="shared" si="4"/>
        <v/>
      </c>
      <c r="S45" s="1" t="str">
        <f t="shared" si="5"/>
        <v>weekly</v>
      </c>
      <c r="T45" s="4" t="str">
        <f t="shared" si="6"/>
        <v/>
      </c>
      <c r="U45" s="10" t="str">
        <f t="shared" si="7"/>
        <v/>
      </c>
      <c r="V45" s="10" t="str">
        <f t="shared" si="8"/>
        <v/>
      </c>
      <c r="W45" s="33" t="str">
        <f t="shared" si="9"/>
        <v/>
      </c>
    </row>
    <row r="46" spans="2:23">
      <c r="I46" s="31"/>
      <c r="J46" s="16"/>
      <c r="N46" s="6" t="str">
        <f t="shared" si="0"/>
        <v/>
      </c>
      <c r="O46" s="4" t="str">
        <f t="shared" si="1"/>
        <v/>
      </c>
      <c r="P46" s="4" t="str">
        <f t="shared" si="2"/>
        <v/>
      </c>
      <c r="Q46" t="str">
        <f t="shared" si="3"/>
        <v/>
      </c>
      <c r="R46" t="str">
        <f t="shared" si="4"/>
        <v/>
      </c>
      <c r="S46" s="1" t="str">
        <f t="shared" si="5"/>
        <v>weekly</v>
      </c>
      <c r="T46" s="4" t="str">
        <f t="shared" si="6"/>
        <v/>
      </c>
      <c r="U46" s="10" t="str">
        <f t="shared" si="7"/>
        <v/>
      </c>
      <c r="V46" s="10" t="str">
        <f t="shared" si="8"/>
        <v/>
      </c>
      <c r="W46" s="33" t="str">
        <f t="shared" si="9"/>
        <v/>
      </c>
    </row>
    <row r="47" spans="2:23">
      <c r="I47" s="31"/>
      <c r="J47" s="16"/>
      <c r="N47" s="6" t="str">
        <f t="shared" si="0"/>
        <v/>
      </c>
      <c r="O47" s="4" t="str">
        <f t="shared" si="1"/>
        <v/>
      </c>
      <c r="P47" s="4" t="str">
        <f t="shared" si="2"/>
        <v/>
      </c>
      <c r="Q47" t="str">
        <f t="shared" si="3"/>
        <v/>
      </c>
      <c r="R47" t="str">
        <f t="shared" si="4"/>
        <v/>
      </c>
      <c r="S47" s="1" t="str">
        <f t="shared" si="5"/>
        <v>weekly</v>
      </c>
      <c r="T47" s="4" t="str">
        <f t="shared" si="6"/>
        <v/>
      </c>
      <c r="U47" s="10" t="str">
        <f t="shared" si="7"/>
        <v/>
      </c>
      <c r="V47" s="10" t="str">
        <f t="shared" si="8"/>
        <v/>
      </c>
      <c r="W47" s="33" t="str">
        <f t="shared" si="9"/>
        <v/>
      </c>
    </row>
    <row r="48" spans="2:23">
      <c r="I48" s="31"/>
      <c r="J48" s="16"/>
      <c r="N48" s="6" t="str">
        <f t="shared" si="0"/>
        <v/>
      </c>
      <c r="O48" s="4" t="str">
        <f t="shared" si="1"/>
        <v/>
      </c>
      <c r="P48" s="4" t="str">
        <f t="shared" si="2"/>
        <v/>
      </c>
      <c r="Q48" t="str">
        <f t="shared" si="3"/>
        <v/>
      </c>
      <c r="R48" t="str">
        <f t="shared" si="4"/>
        <v/>
      </c>
      <c r="S48" s="1" t="str">
        <f t="shared" si="5"/>
        <v>weekly</v>
      </c>
      <c r="T48" s="4" t="str">
        <f t="shared" si="6"/>
        <v/>
      </c>
      <c r="U48" s="10" t="str">
        <f t="shared" si="7"/>
        <v/>
      </c>
      <c r="V48" s="10" t="str">
        <f t="shared" si="8"/>
        <v/>
      </c>
      <c r="W48" s="33" t="str">
        <f t="shared" si="9"/>
        <v/>
      </c>
    </row>
    <row r="49" spans="5:28">
      <c r="I49" s="31"/>
      <c r="J49" s="16"/>
      <c r="N49" s="6" t="str">
        <f t="shared" si="0"/>
        <v/>
      </c>
      <c r="O49" s="4" t="str">
        <f t="shared" si="1"/>
        <v/>
      </c>
      <c r="P49" s="4" t="str">
        <f t="shared" si="2"/>
        <v/>
      </c>
      <c r="Q49" t="str">
        <f t="shared" si="3"/>
        <v/>
      </c>
      <c r="R49" t="str">
        <f t="shared" si="4"/>
        <v/>
      </c>
      <c r="S49" s="1" t="str">
        <f t="shared" si="5"/>
        <v>weekly</v>
      </c>
      <c r="T49" s="4" t="str">
        <f t="shared" si="6"/>
        <v/>
      </c>
      <c r="U49" s="10" t="str">
        <f t="shared" si="7"/>
        <v/>
      </c>
      <c r="V49" s="10" t="str">
        <f t="shared" si="8"/>
        <v/>
      </c>
      <c r="W49" s="33" t="str">
        <f t="shared" si="9"/>
        <v/>
      </c>
    </row>
    <row r="50" spans="5:28">
      <c r="I50" s="31"/>
      <c r="J50" s="16"/>
      <c r="N50" s="6" t="str">
        <f t="shared" si="0"/>
        <v/>
      </c>
      <c r="O50" s="4" t="str">
        <f t="shared" si="1"/>
        <v/>
      </c>
      <c r="P50" s="4" t="str">
        <f t="shared" si="2"/>
        <v/>
      </c>
      <c r="Q50" t="str">
        <f t="shared" si="3"/>
        <v/>
      </c>
      <c r="R50" t="str">
        <f t="shared" si="4"/>
        <v/>
      </c>
      <c r="S50" s="1" t="str">
        <f t="shared" si="5"/>
        <v>weekly</v>
      </c>
      <c r="T50" s="4" t="str">
        <f t="shared" si="6"/>
        <v/>
      </c>
      <c r="U50" s="10" t="str">
        <f t="shared" si="7"/>
        <v/>
      </c>
      <c r="V50" s="10" t="str">
        <f t="shared" si="8"/>
        <v/>
      </c>
      <c r="W50" s="33" t="str">
        <f t="shared" si="9"/>
        <v/>
      </c>
    </row>
    <row r="51" spans="5:28">
      <c r="I51" s="31"/>
      <c r="J51" s="16"/>
      <c r="N51" s="6" t="str">
        <f t="shared" si="0"/>
        <v/>
      </c>
      <c r="O51" s="4" t="str">
        <f t="shared" si="1"/>
        <v/>
      </c>
      <c r="P51" s="4" t="str">
        <f t="shared" si="2"/>
        <v/>
      </c>
      <c r="Q51" t="str">
        <f t="shared" si="3"/>
        <v/>
      </c>
      <c r="R51" t="str">
        <f t="shared" si="4"/>
        <v/>
      </c>
      <c r="S51" s="1" t="str">
        <f t="shared" si="5"/>
        <v>weekly</v>
      </c>
      <c r="T51" s="4" t="str">
        <f t="shared" si="6"/>
        <v/>
      </c>
      <c r="U51" s="10" t="str">
        <f t="shared" si="7"/>
        <v/>
      </c>
      <c r="V51" s="10" t="str">
        <f t="shared" si="8"/>
        <v/>
      </c>
      <c r="W51" s="33" t="str">
        <f t="shared" si="9"/>
        <v/>
      </c>
    </row>
    <row r="52" spans="5:28">
      <c r="I52" s="31"/>
      <c r="J52" s="16"/>
      <c r="N52" s="6" t="str">
        <f t="shared" si="0"/>
        <v/>
      </c>
      <c r="O52" s="4" t="str">
        <f t="shared" si="1"/>
        <v/>
      </c>
      <c r="P52" s="4" t="str">
        <f t="shared" si="2"/>
        <v/>
      </c>
      <c r="Q52" t="str">
        <f t="shared" si="3"/>
        <v/>
      </c>
      <c r="R52" t="str">
        <f t="shared" si="4"/>
        <v/>
      </c>
      <c r="S52" s="1" t="str">
        <f t="shared" si="5"/>
        <v>weekly</v>
      </c>
      <c r="T52" s="4" t="str">
        <f t="shared" si="6"/>
        <v/>
      </c>
      <c r="U52" s="10" t="str">
        <f t="shared" si="7"/>
        <v/>
      </c>
      <c r="V52" s="10" t="str">
        <f t="shared" si="8"/>
        <v/>
      </c>
      <c r="W52" s="33" t="str">
        <f t="shared" si="9"/>
        <v/>
      </c>
    </row>
    <row r="53" spans="5:28">
      <c r="E53" s="2"/>
      <c r="I53" s="31"/>
      <c r="J53" s="16"/>
      <c r="N53" s="6" t="str">
        <f t="shared" si="0"/>
        <v/>
      </c>
      <c r="O53" s="4" t="str">
        <f t="shared" si="1"/>
        <v/>
      </c>
      <c r="P53" s="4" t="str">
        <f t="shared" si="2"/>
        <v/>
      </c>
      <c r="Q53" t="str">
        <f t="shared" si="3"/>
        <v/>
      </c>
      <c r="R53" t="str">
        <f t="shared" si="4"/>
        <v/>
      </c>
      <c r="S53" s="1" t="str">
        <f t="shared" si="5"/>
        <v>weekly</v>
      </c>
      <c r="T53" s="4" t="str">
        <f t="shared" si="6"/>
        <v/>
      </c>
      <c r="U53" s="10" t="str">
        <f t="shared" si="7"/>
        <v/>
      </c>
      <c r="V53" s="10" t="str">
        <f t="shared" si="8"/>
        <v/>
      </c>
      <c r="W53" s="33" t="str">
        <f t="shared" si="9"/>
        <v/>
      </c>
      <c r="AA53" s="9"/>
      <c r="AB53" s="4"/>
    </row>
    <row r="54" spans="5:28">
      <c r="E54" s="2"/>
      <c r="I54" s="31"/>
      <c r="J54" s="16"/>
      <c r="N54" s="6" t="str">
        <f t="shared" si="0"/>
        <v/>
      </c>
      <c r="O54" s="4" t="str">
        <f t="shared" si="1"/>
        <v/>
      </c>
      <c r="P54" s="4" t="str">
        <f t="shared" si="2"/>
        <v/>
      </c>
      <c r="Q54" t="str">
        <f t="shared" si="3"/>
        <v/>
      </c>
      <c r="R54" t="str">
        <f t="shared" si="4"/>
        <v/>
      </c>
      <c r="S54" s="1" t="str">
        <f t="shared" si="5"/>
        <v>weekly</v>
      </c>
      <c r="T54" s="4" t="str">
        <f t="shared" si="6"/>
        <v/>
      </c>
      <c r="U54" s="10" t="str">
        <f t="shared" si="7"/>
        <v/>
      </c>
      <c r="V54" s="10" t="str">
        <f t="shared" si="8"/>
        <v/>
      </c>
      <c r="W54" s="33" t="str">
        <f t="shared" si="9"/>
        <v/>
      </c>
      <c r="AA54" s="9"/>
      <c r="AB54" s="4"/>
    </row>
    <row r="55" spans="5:28">
      <c r="E55" s="2"/>
      <c r="I55" s="31"/>
      <c r="J55" s="16"/>
      <c r="N55" s="6" t="str">
        <f t="shared" si="0"/>
        <v/>
      </c>
      <c r="O55" s="4" t="str">
        <f t="shared" si="1"/>
        <v/>
      </c>
      <c r="P55" s="4" t="str">
        <f t="shared" si="2"/>
        <v/>
      </c>
      <c r="Q55" t="str">
        <f t="shared" si="3"/>
        <v/>
      </c>
      <c r="R55" t="str">
        <f t="shared" si="4"/>
        <v/>
      </c>
      <c r="S55" s="1" t="str">
        <f t="shared" si="5"/>
        <v>weekly</v>
      </c>
      <c r="T55" s="4" t="str">
        <f t="shared" si="6"/>
        <v/>
      </c>
      <c r="U55" s="10" t="str">
        <f t="shared" si="7"/>
        <v/>
      </c>
      <c r="V55" s="10" t="str">
        <f t="shared" si="8"/>
        <v/>
      </c>
      <c r="W55" s="33" t="str">
        <f t="shared" si="9"/>
        <v/>
      </c>
      <c r="AA55" s="9"/>
      <c r="AB55" s="4"/>
    </row>
    <row r="56" spans="5:28">
      <c r="E56" s="2"/>
      <c r="I56" s="31"/>
      <c r="J56" s="16"/>
      <c r="N56" s="6" t="str">
        <f t="shared" si="0"/>
        <v/>
      </c>
      <c r="O56" s="4" t="str">
        <f t="shared" si="1"/>
        <v/>
      </c>
      <c r="P56" s="4" t="str">
        <f t="shared" si="2"/>
        <v/>
      </c>
      <c r="Q56" t="str">
        <f t="shared" si="3"/>
        <v/>
      </c>
      <c r="R56" t="str">
        <f t="shared" si="4"/>
        <v/>
      </c>
      <c r="S56" s="1" t="str">
        <f t="shared" si="5"/>
        <v>weekly</v>
      </c>
      <c r="T56" s="4" t="str">
        <f t="shared" si="6"/>
        <v/>
      </c>
      <c r="U56" s="10" t="str">
        <f t="shared" si="7"/>
        <v/>
      </c>
      <c r="V56" s="10" t="str">
        <f t="shared" si="8"/>
        <v/>
      </c>
      <c r="W56" s="33" t="str">
        <f t="shared" si="9"/>
        <v/>
      </c>
      <c r="AA56" s="9"/>
      <c r="AB56" s="4"/>
    </row>
    <row r="57" spans="5:28">
      <c r="E57" s="2"/>
      <c r="I57" s="31"/>
      <c r="J57" s="16"/>
      <c r="N57" s="6" t="str">
        <f t="shared" si="0"/>
        <v/>
      </c>
      <c r="O57" s="4" t="str">
        <f t="shared" si="1"/>
        <v/>
      </c>
      <c r="P57" s="4" t="str">
        <f t="shared" si="2"/>
        <v/>
      </c>
      <c r="Q57" t="str">
        <f t="shared" si="3"/>
        <v/>
      </c>
      <c r="R57" t="str">
        <f t="shared" si="4"/>
        <v/>
      </c>
      <c r="S57" s="1" t="str">
        <f t="shared" si="5"/>
        <v>weekly</v>
      </c>
      <c r="T57" s="4" t="str">
        <f t="shared" si="6"/>
        <v/>
      </c>
      <c r="U57" s="10" t="str">
        <f t="shared" si="7"/>
        <v/>
      </c>
      <c r="V57" s="10" t="str">
        <f t="shared" si="8"/>
        <v/>
      </c>
      <c r="W57" s="33" t="str">
        <f t="shared" si="9"/>
        <v/>
      </c>
      <c r="AA57" s="9"/>
      <c r="AB57" s="4"/>
    </row>
    <row r="58" spans="5:28">
      <c r="E58" s="2"/>
      <c r="I58" s="31"/>
      <c r="J58" s="16"/>
      <c r="N58" s="6" t="str">
        <f t="shared" si="0"/>
        <v/>
      </c>
      <c r="O58" s="4" t="str">
        <f t="shared" si="1"/>
        <v/>
      </c>
      <c r="P58" s="4" t="str">
        <f t="shared" si="2"/>
        <v/>
      </c>
      <c r="Q58" t="str">
        <f t="shared" si="3"/>
        <v/>
      </c>
      <c r="R58" t="str">
        <f t="shared" si="4"/>
        <v/>
      </c>
      <c r="S58" s="1" t="str">
        <f t="shared" si="5"/>
        <v>weekly</v>
      </c>
      <c r="T58" s="4" t="str">
        <f t="shared" si="6"/>
        <v/>
      </c>
      <c r="U58" s="10" t="str">
        <f t="shared" si="7"/>
        <v/>
      </c>
      <c r="V58" s="10" t="str">
        <f t="shared" si="8"/>
        <v/>
      </c>
      <c r="W58" s="33" t="str">
        <f t="shared" si="9"/>
        <v/>
      </c>
      <c r="AA58" s="9"/>
      <c r="AB58" s="4"/>
    </row>
    <row r="59" spans="5:28">
      <c r="E59" s="2"/>
      <c r="I59" s="31"/>
      <c r="J59" s="16"/>
      <c r="N59" s="6" t="str">
        <f t="shared" si="0"/>
        <v/>
      </c>
      <c r="O59" s="4" t="str">
        <f t="shared" si="1"/>
        <v/>
      </c>
      <c r="P59" s="4" t="str">
        <f t="shared" si="2"/>
        <v/>
      </c>
      <c r="Q59" t="str">
        <f t="shared" si="3"/>
        <v/>
      </c>
      <c r="R59" t="str">
        <f t="shared" si="4"/>
        <v/>
      </c>
      <c r="S59" s="1" t="str">
        <f t="shared" si="5"/>
        <v>weekly</v>
      </c>
      <c r="T59" s="4" t="str">
        <f t="shared" si="6"/>
        <v/>
      </c>
      <c r="U59" s="10" t="str">
        <f t="shared" si="7"/>
        <v/>
      </c>
      <c r="V59" s="10" t="str">
        <f t="shared" si="8"/>
        <v/>
      </c>
      <c r="W59" s="33" t="str">
        <f t="shared" si="9"/>
        <v/>
      </c>
      <c r="AA59" s="9"/>
      <c r="AB59" s="4"/>
    </row>
    <row r="60" spans="5:28">
      <c r="E60" s="2"/>
      <c r="I60" s="31"/>
      <c r="J60" s="16"/>
      <c r="N60" s="6" t="str">
        <f t="shared" si="0"/>
        <v/>
      </c>
      <c r="O60" s="4" t="str">
        <f t="shared" si="1"/>
        <v/>
      </c>
      <c r="P60" s="4" t="str">
        <f t="shared" si="2"/>
        <v/>
      </c>
      <c r="Q60" t="str">
        <f t="shared" si="3"/>
        <v/>
      </c>
      <c r="R60" t="str">
        <f t="shared" si="4"/>
        <v/>
      </c>
      <c r="S60" s="1" t="str">
        <f t="shared" si="5"/>
        <v>weekly</v>
      </c>
      <c r="T60" s="4" t="str">
        <f t="shared" si="6"/>
        <v/>
      </c>
      <c r="U60" s="10" t="str">
        <f t="shared" si="7"/>
        <v/>
      </c>
      <c r="V60" s="10" t="str">
        <f t="shared" si="8"/>
        <v/>
      </c>
      <c r="W60" s="33" t="str">
        <f t="shared" si="9"/>
        <v/>
      </c>
      <c r="AA60" s="9"/>
      <c r="AB60" s="4"/>
    </row>
    <row r="61" spans="5:28">
      <c r="E61" s="2"/>
      <c r="I61" s="31"/>
      <c r="J61" s="16"/>
      <c r="N61" s="6" t="str">
        <f t="shared" si="0"/>
        <v/>
      </c>
      <c r="O61" s="4" t="str">
        <f t="shared" si="1"/>
        <v/>
      </c>
      <c r="P61" s="4" t="str">
        <f t="shared" si="2"/>
        <v/>
      </c>
      <c r="Q61" t="str">
        <f t="shared" si="3"/>
        <v/>
      </c>
      <c r="R61" t="str">
        <f t="shared" si="4"/>
        <v/>
      </c>
      <c r="S61" s="1" t="str">
        <f t="shared" si="5"/>
        <v>weekly</v>
      </c>
      <c r="T61" s="4" t="str">
        <f t="shared" si="6"/>
        <v/>
      </c>
      <c r="U61" s="10" t="str">
        <f t="shared" si="7"/>
        <v/>
      </c>
      <c r="V61" s="10" t="str">
        <f t="shared" si="8"/>
        <v/>
      </c>
      <c r="W61" s="33" t="str">
        <f t="shared" si="9"/>
        <v/>
      </c>
      <c r="AA61" s="9"/>
      <c r="AB61" s="4"/>
    </row>
    <row r="62" spans="5:28">
      <c r="E62" s="2"/>
      <c r="I62" s="31"/>
      <c r="J62" s="16"/>
      <c r="N62" s="6" t="str">
        <f t="shared" si="0"/>
        <v/>
      </c>
      <c r="O62" s="4" t="str">
        <f t="shared" si="1"/>
        <v/>
      </c>
      <c r="P62" s="4" t="str">
        <f t="shared" si="2"/>
        <v/>
      </c>
      <c r="Q62" t="str">
        <f t="shared" si="3"/>
        <v/>
      </c>
      <c r="R62" t="str">
        <f t="shared" si="4"/>
        <v/>
      </c>
      <c r="S62" s="1" t="str">
        <f t="shared" si="5"/>
        <v>weekly</v>
      </c>
      <c r="T62" s="4" t="str">
        <f t="shared" si="6"/>
        <v/>
      </c>
      <c r="U62" s="10" t="str">
        <f t="shared" si="7"/>
        <v/>
      </c>
      <c r="V62" s="10" t="str">
        <f t="shared" si="8"/>
        <v/>
      </c>
      <c r="W62" s="33" t="str">
        <f t="shared" si="9"/>
        <v/>
      </c>
      <c r="AA62" s="9"/>
      <c r="AB62" s="4"/>
    </row>
    <row r="63" spans="5:28">
      <c r="E63" s="2"/>
      <c r="I63" s="31"/>
      <c r="J63" s="16"/>
      <c r="N63" s="6" t="str">
        <f t="shared" si="0"/>
        <v/>
      </c>
      <c r="O63" s="4" t="str">
        <f t="shared" si="1"/>
        <v/>
      </c>
      <c r="P63" s="4" t="str">
        <f t="shared" si="2"/>
        <v/>
      </c>
      <c r="Q63" t="str">
        <f t="shared" si="3"/>
        <v/>
      </c>
      <c r="R63" t="str">
        <f t="shared" si="4"/>
        <v/>
      </c>
      <c r="S63" s="1" t="str">
        <f t="shared" si="5"/>
        <v>weekly</v>
      </c>
      <c r="T63" s="4" t="str">
        <f t="shared" si="6"/>
        <v/>
      </c>
      <c r="U63" s="10" t="str">
        <f t="shared" si="7"/>
        <v/>
      </c>
      <c r="V63" s="10" t="str">
        <f t="shared" si="8"/>
        <v/>
      </c>
      <c r="W63" s="33" t="str">
        <f t="shared" si="9"/>
        <v/>
      </c>
      <c r="AA63" s="9"/>
      <c r="AB63" s="4"/>
    </row>
    <row r="64" spans="5:28">
      <c r="E64" s="2"/>
      <c r="I64" s="31"/>
      <c r="J64" s="16"/>
      <c r="N64" s="6" t="str">
        <f t="shared" si="0"/>
        <v/>
      </c>
      <c r="O64" s="4" t="str">
        <f t="shared" si="1"/>
        <v/>
      </c>
      <c r="P64" s="4" t="str">
        <f t="shared" si="2"/>
        <v/>
      </c>
      <c r="Q64" t="str">
        <f t="shared" si="3"/>
        <v/>
      </c>
      <c r="R64" t="str">
        <f t="shared" si="4"/>
        <v/>
      </c>
      <c r="S64" s="1" t="str">
        <f t="shared" si="5"/>
        <v>weekly</v>
      </c>
      <c r="T64" s="4" t="str">
        <f t="shared" si="6"/>
        <v/>
      </c>
      <c r="U64" s="10" t="str">
        <f t="shared" si="7"/>
        <v/>
      </c>
      <c r="V64" s="10" t="str">
        <f t="shared" si="8"/>
        <v/>
      </c>
      <c r="W64" s="33" t="str">
        <f t="shared" si="9"/>
        <v/>
      </c>
      <c r="AA64" s="9"/>
      <c r="AB64" s="4"/>
    </row>
    <row r="65" spans="3:28">
      <c r="E65" s="2"/>
      <c r="I65" s="31"/>
      <c r="J65" s="16"/>
      <c r="N65" s="6" t="str">
        <f t="shared" si="0"/>
        <v/>
      </c>
      <c r="O65" s="4" t="str">
        <f t="shared" si="1"/>
        <v/>
      </c>
      <c r="P65" s="4" t="str">
        <f t="shared" si="2"/>
        <v/>
      </c>
      <c r="Q65" t="str">
        <f t="shared" si="3"/>
        <v/>
      </c>
      <c r="R65" t="str">
        <f t="shared" si="4"/>
        <v/>
      </c>
      <c r="S65" s="1" t="str">
        <f t="shared" si="5"/>
        <v>weekly</v>
      </c>
      <c r="T65" s="4" t="str">
        <f t="shared" si="6"/>
        <v/>
      </c>
      <c r="U65" s="10" t="str">
        <f t="shared" si="7"/>
        <v/>
      </c>
      <c r="V65" s="10" t="str">
        <f t="shared" si="8"/>
        <v/>
      </c>
      <c r="W65" s="33" t="str">
        <f t="shared" si="9"/>
        <v/>
      </c>
      <c r="AA65" s="9"/>
      <c r="AB65" s="4"/>
    </row>
    <row r="66" spans="3:28">
      <c r="E66" s="2"/>
      <c r="I66" s="31"/>
      <c r="J66" s="16"/>
      <c r="N66" s="6" t="str">
        <f t="shared" ref="N66:N129" si="10">IF(D66="","",TIMEVALUE(D66))</f>
        <v/>
      </c>
      <c r="O66" s="4" t="str">
        <f t="shared" ref="O66:O129" si="11">IF(D66="","",HOUR(D66)*60 + MINUTE(D66) + SECOND(D66)/60)</f>
        <v/>
      </c>
      <c r="P66" s="4" t="str">
        <f t="shared" ref="P66:P129" si="12">IF(O66="","",O66/E66)</f>
        <v/>
      </c>
      <c r="Q66" t="str">
        <f t="shared" ref="Q66:Q129" si="13">IF(O66="", "", IF(MOD(P66,1)*60&gt;=59.5, TEXT(INT(P66)+1, "0") &amp; ":00", TEXT(INT(P66), "0") &amp; ":" &amp; TEXT(ROUND(MOD(P66,1)*60, 0), "00")))</f>
        <v/>
      </c>
      <c r="R66" t="str">
        <f t="shared" ref="R66:R129" si="14">IF(A66&lt;&gt;"",A66,"")</f>
        <v/>
      </c>
      <c r="S66" s="1" t="str">
        <f t="shared" ref="S66:S129" si="15">IFERROR(IF(ISBLANK(C66), S65,INDEX($C$2:$C$365, MATCH(R66,$R$2:$R$365, 0)) - WEEKDAY(INDEX($C$2:$C$365, MATCH(R66,$R$2:$R$365, 0)), 2) + 1), "")</f>
        <v>weekly</v>
      </c>
      <c r="T66" s="4" t="str">
        <f t="shared" ref="T66:T129" si="16">IF(S66="","",IF(S66=S65, "", SUMIFS(E:E,S:S, S66)))</f>
        <v/>
      </c>
      <c r="U66" s="10" t="str">
        <f t="shared" ref="U66:U129" si="17">IF(S66="","",IF(S66=S65, "", SUMIFS(N:N,S:S, S66)))</f>
        <v/>
      </c>
      <c r="V66" s="10" t="str">
        <f t="shared" ref="V66:V129" si="18">IF(S66="","",IF(S66=S65, "", AVERAGEIF(S:S,S66,J:J)))</f>
        <v/>
      </c>
      <c r="W66" s="33" t="str">
        <f t="shared" ref="W66:W129" si="19">IF(S66="","",IF(S66=S65, "", AVERAGEIF(S:S,S66,K:K)))</f>
        <v/>
      </c>
      <c r="AA66" s="9"/>
      <c r="AB66" s="4"/>
    </row>
    <row r="67" spans="3:28">
      <c r="E67" s="2"/>
      <c r="I67" s="31"/>
      <c r="J67" s="16"/>
      <c r="N67" s="6" t="str">
        <f t="shared" si="10"/>
        <v/>
      </c>
      <c r="O67" s="4" t="str">
        <f t="shared" si="11"/>
        <v/>
      </c>
      <c r="P67" s="4" t="str">
        <f t="shared" si="12"/>
        <v/>
      </c>
      <c r="Q67" t="str">
        <f t="shared" si="13"/>
        <v/>
      </c>
      <c r="R67" t="str">
        <f t="shared" si="14"/>
        <v/>
      </c>
      <c r="S67" s="1" t="str">
        <f t="shared" si="15"/>
        <v>weekly</v>
      </c>
      <c r="T67" s="4" t="str">
        <f t="shared" si="16"/>
        <v/>
      </c>
      <c r="U67" s="10" t="str">
        <f t="shared" si="17"/>
        <v/>
      </c>
      <c r="V67" s="10" t="str">
        <f t="shared" si="18"/>
        <v/>
      </c>
      <c r="W67" s="33" t="str">
        <f t="shared" si="19"/>
        <v/>
      </c>
      <c r="AA67" s="9"/>
      <c r="AB67" s="4"/>
    </row>
    <row r="68" spans="3:28">
      <c r="E68" s="2"/>
      <c r="I68" s="31"/>
      <c r="J68" s="16"/>
      <c r="N68" s="6" t="str">
        <f t="shared" si="10"/>
        <v/>
      </c>
      <c r="O68" s="4" t="str">
        <f t="shared" si="11"/>
        <v/>
      </c>
      <c r="P68" s="4" t="str">
        <f t="shared" si="12"/>
        <v/>
      </c>
      <c r="Q68" t="str">
        <f t="shared" si="13"/>
        <v/>
      </c>
      <c r="R68" t="str">
        <f t="shared" si="14"/>
        <v/>
      </c>
      <c r="S68" s="1" t="str">
        <f t="shared" si="15"/>
        <v>weekly</v>
      </c>
      <c r="T68" s="4" t="str">
        <f t="shared" si="16"/>
        <v/>
      </c>
      <c r="U68" s="10" t="str">
        <f t="shared" si="17"/>
        <v/>
      </c>
      <c r="V68" s="10" t="str">
        <f t="shared" si="18"/>
        <v/>
      </c>
      <c r="W68" s="33" t="str">
        <f t="shared" si="19"/>
        <v/>
      </c>
      <c r="AA68" s="9"/>
      <c r="AB68" s="4"/>
    </row>
    <row r="69" spans="3:28">
      <c r="E69" s="2"/>
      <c r="I69" s="31"/>
      <c r="J69" s="16"/>
      <c r="N69" s="6" t="str">
        <f t="shared" si="10"/>
        <v/>
      </c>
      <c r="O69" s="4" t="str">
        <f t="shared" si="11"/>
        <v/>
      </c>
      <c r="P69" s="4" t="str">
        <f t="shared" si="12"/>
        <v/>
      </c>
      <c r="Q69" t="str">
        <f t="shared" si="13"/>
        <v/>
      </c>
      <c r="R69" t="str">
        <f t="shared" si="14"/>
        <v/>
      </c>
      <c r="S69" s="1" t="str">
        <f t="shared" si="15"/>
        <v>weekly</v>
      </c>
      <c r="T69" s="4" t="str">
        <f t="shared" si="16"/>
        <v/>
      </c>
      <c r="U69" s="10" t="str">
        <f t="shared" si="17"/>
        <v/>
      </c>
      <c r="V69" s="10" t="str">
        <f t="shared" si="18"/>
        <v/>
      </c>
      <c r="W69" s="33" t="str">
        <f t="shared" si="19"/>
        <v/>
      </c>
      <c r="AA69" s="9"/>
      <c r="AB69" s="4"/>
    </row>
    <row r="70" spans="3:28">
      <c r="E70" s="2"/>
      <c r="I70" s="31"/>
      <c r="J70" s="16"/>
      <c r="N70" s="6" t="str">
        <f t="shared" si="10"/>
        <v/>
      </c>
      <c r="O70" s="4" t="str">
        <f t="shared" si="11"/>
        <v/>
      </c>
      <c r="P70" s="4" t="str">
        <f t="shared" si="12"/>
        <v/>
      </c>
      <c r="Q70" t="str">
        <f t="shared" si="13"/>
        <v/>
      </c>
      <c r="R70" t="str">
        <f t="shared" si="14"/>
        <v/>
      </c>
      <c r="S70" s="1" t="str">
        <f t="shared" si="15"/>
        <v>weekly</v>
      </c>
      <c r="T70" s="4" t="str">
        <f t="shared" si="16"/>
        <v/>
      </c>
      <c r="U70" s="10" t="str">
        <f t="shared" si="17"/>
        <v/>
      </c>
      <c r="V70" s="10" t="str">
        <f t="shared" si="18"/>
        <v/>
      </c>
      <c r="W70" s="33" t="str">
        <f t="shared" si="19"/>
        <v/>
      </c>
      <c r="AA70" s="9"/>
      <c r="AB70" s="4"/>
    </row>
    <row r="71" spans="3:28">
      <c r="E71" s="2"/>
      <c r="I71" s="31"/>
      <c r="J71" s="16"/>
      <c r="N71" s="6" t="str">
        <f t="shared" si="10"/>
        <v/>
      </c>
      <c r="O71" s="4" t="str">
        <f t="shared" si="11"/>
        <v/>
      </c>
      <c r="P71" s="4" t="str">
        <f t="shared" si="12"/>
        <v/>
      </c>
      <c r="Q71" t="str">
        <f t="shared" si="13"/>
        <v/>
      </c>
      <c r="R71" t="str">
        <f t="shared" si="14"/>
        <v/>
      </c>
      <c r="S71" s="1" t="str">
        <f t="shared" si="15"/>
        <v>weekly</v>
      </c>
      <c r="T71" s="4" t="str">
        <f t="shared" si="16"/>
        <v/>
      </c>
      <c r="U71" s="10" t="str">
        <f t="shared" si="17"/>
        <v/>
      </c>
      <c r="V71" s="10" t="str">
        <f t="shared" si="18"/>
        <v/>
      </c>
      <c r="W71" s="33" t="str">
        <f t="shared" si="19"/>
        <v/>
      </c>
      <c r="AA71" s="9"/>
      <c r="AB71" s="4"/>
    </row>
    <row r="72" spans="3:28">
      <c r="E72" s="2"/>
      <c r="I72" s="31"/>
      <c r="J72" s="16"/>
      <c r="N72" s="6" t="str">
        <f t="shared" si="10"/>
        <v/>
      </c>
      <c r="O72" s="4" t="str">
        <f t="shared" si="11"/>
        <v/>
      </c>
      <c r="P72" s="4" t="str">
        <f t="shared" si="12"/>
        <v/>
      </c>
      <c r="Q72" t="str">
        <f t="shared" si="13"/>
        <v/>
      </c>
      <c r="R72" t="str">
        <f t="shared" si="14"/>
        <v/>
      </c>
      <c r="S72" s="1" t="str">
        <f t="shared" si="15"/>
        <v>weekly</v>
      </c>
      <c r="T72" s="4" t="str">
        <f t="shared" si="16"/>
        <v/>
      </c>
      <c r="U72" s="10" t="str">
        <f t="shared" si="17"/>
        <v/>
      </c>
      <c r="V72" s="10" t="str">
        <f t="shared" si="18"/>
        <v/>
      </c>
      <c r="W72" s="33" t="str">
        <f t="shared" si="19"/>
        <v/>
      </c>
      <c r="AA72" s="9"/>
      <c r="AB72" s="4"/>
    </row>
    <row r="73" spans="3:28">
      <c r="C73" s="54"/>
      <c r="D73" s="23"/>
      <c r="E73" s="35"/>
      <c r="F73" s="22"/>
      <c r="G73" s="22"/>
      <c r="H73" s="36"/>
      <c r="I73" s="37"/>
      <c r="J73" s="38"/>
      <c r="K73" s="22"/>
      <c r="L73" s="22"/>
      <c r="M73" s="23"/>
      <c r="N73" s="6" t="str">
        <f t="shared" si="10"/>
        <v/>
      </c>
      <c r="O73" s="4" t="str">
        <f t="shared" si="11"/>
        <v/>
      </c>
      <c r="P73" s="4" t="str">
        <f t="shared" si="12"/>
        <v/>
      </c>
      <c r="Q73" t="str">
        <f t="shared" si="13"/>
        <v/>
      </c>
      <c r="R73" t="str">
        <f t="shared" si="14"/>
        <v/>
      </c>
      <c r="S73" s="1" t="str">
        <f t="shared" si="15"/>
        <v>weekly</v>
      </c>
      <c r="T73" s="4" t="str">
        <f t="shared" si="16"/>
        <v/>
      </c>
      <c r="U73" s="10" t="str">
        <f t="shared" si="17"/>
        <v/>
      </c>
      <c r="V73" s="10" t="str">
        <f t="shared" si="18"/>
        <v/>
      </c>
      <c r="W73" s="33" t="str">
        <f t="shared" si="19"/>
        <v/>
      </c>
      <c r="AA73" s="9"/>
      <c r="AB73" s="4"/>
    </row>
    <row r="74" spans="3:28">
      <c r="E74" s="2"/>
      <c r="I74" s="31"/>
      <c r="J74" s="16"/>
      <c r="N74" s="6" t="str">
        <f t="shared" si="10"/>
        <v/>
      </c>
      <c r="O74" s="4" t="str">
        <f t="shared" si="11"/>
        <v/>
      </c>
      <c r="P74" s="4" t="str">
        <f t="shared" si="12"/>
        <v/>
      </c>
      <c r="Q74" t="str">
        <f t="shared" si="13"/>
        <v/>
      </c>
      <c r="R74" t="str">
        <f t="shared" si="14"/>
        <v/>
      </c>
      <c r="S74" s="1" t="str">
        <f t="shared" si="15"/>
        <v>weekly</v>
      </c>
      <c r="T74" s="4" t="str">
        <f t="shared" si="16"/>
        <v/>
      </c>
      <c r="U74" s="10" t="str">
        <f t="shared" si="17"/>
        <v/>
      </c>
      <c r="V74" s="10" t="str">
        <f t="shared" si="18"/>
        <v/>
      </c>
      <c r="W74" s="33" t="str">
        <f t="shared" si="19"/>
        <v/>
      </c>
      <c r="AA74" s="9"/>
      <c r="AB74" s="4"/>
    </row>
    <row r="75" spans="3:28">
      <c r="E75" s="2"/>
      <c r="I75" s="31"/>
      <c r="J75" s="16"/>
      <c r="N75" s="6" t="str">
        <f t="shared" si="10"/>
        <v/>
      </c>
      <c r="O75" s="4" t="str">
        <f t="shared" si="11"/>
        <v/>
      </c>
      <c r="P75" s="4" t="str">
        <f t="shared" si="12"/>
        <v/>
      </c>
      <c r="Q75" t="str">
        <f t="shared" si="13"/>
        <v/>
      </c>
      <c r="R75" t="str">
        <f t="shared" si="14"/>
        <v/>
      </c>
      <c r="S75" s="1" t="str">
        <f t="shared" si="15"/>
        <v>weekly</v>
      </c>
      <c r="T75" s="4" t="str">
        <f t="shared" si="16"/>
        <v/>
      </c>
      <c r="U75" s="10" t="str">
        <f t="shared" si="17"/>
        <v/>
      </c>
      <c r="V75" s="10" t="str">
        <f t="shared" si="18"/>
        <v/>
      </c>
      <c r="W75" s="33" t="str">
        <f t="shared" si="19"/>
        <v/>
      </c>
      <c r="AA75" s="9"/>
      <c r="AB75" s="4"/>
    </row>
    <row r="76" spans="3:28">
      <c r="E76" s="2"/>
      <c r="I76" s="31"/>
      <c r="J76" s="16"/>
      <c r="N76" s="6" t="str">
        <f t="shared" si="10"/>
        <v/>
      </c>
      <c r="O76" s="4" t="str">
        <f t="shared" si="11"/>
        <v/>
      </c>
      <c r="P76" s="4" t="str">
        <f t="shared" si="12"/>
        <v/>
      </c>
      <c r="Q76" t="str">
        <f t="shared" si="13"/>
        <v/>
      </c>
      <c r="R76" t="str">
        <f t="shared" si="14"/>
        <v/>
      </c>
      <c r="S76" s="1" t="str">
        <f t="shared" si="15"/>
        <v>weekly</v>
      </c>
      <c r="T76" s="4" t="str">
        <f t="shared" si="16"/>
        <v/>
      </c>
      <c r="U76" s="10" t="str">
        <f t="shared" si="17"/>
        <v/>
      </c>
      <c r="V76" s="10" t="str">
        <f t="shared" si="18"/>
        <v/>
      </c>
      <c r="W76" s="33" t="str">
        <f t="shared" si="19"/>
        <v/>
      </c>
      <c r="AA76" s="9"/>
      <c r="AB76" s="4"/>
    </row>
    <row r="77" spans="3:28">
      <c r="E77" s="2"/>
      <c r="I77" s="31"/>
      <c r="J77" s="16"/>
      <c r="N77" s="6" t="str">
        <f t="shared" si="10"/>
        <v/>
      </c>
      <c r="O77" s="4" t="str">
        <f t="shared" si="11"/>
        <v/>
      </c>
      <c r="P77" s="4" t="str">
        <f t="shared" si="12"/>
        <v/>
      </c>
      <c r="Q77" t="str">
        <f t="shared" si="13"/>
        <v/>
      </c>
      <c r="R77" t="str">
        <f t="shared" si="14"/>
        <v/>
      </c>
      <c r="S77" s="1" t="str">
        <f t="shared" si="15"/>
        <v>weekly</v>
      </c>
      <c r="T77" s="4" t="str">
        <f t="shared" si="16"/>
        <v/>
      </c>
      <c r="U77" s="10" t="str">
        <f t="shared" si="17"/>
        <v/>
      </c>
      <c r="V77" s="10" t="str">
        <f t="shared" si="18"/>
        <v/>
      </c>
      <c r="W77" s="33" t="str">
        <f t="shared" si="19"/>
        <v/>
      </c>
      <c r="AA77" s="9"/>
      <c r="AB77" s="4"/>
    </row>
    <row r="78" spans="3:28">
      <c r="E78" s="2"/>
      <c r="I78" s="31"/>
      <c r="J78" s="16"/>
      <c r="N78" s="6" t="str">
        <f t="shared" si="10"/>
        <v/>
      </c>
      <c r="O78" s="4" t="str">
        <f t="shared" si="11"/>
        <v/>
      </c>
      <c r="P78" s="4" t="str">
        <f t="shared" si="12"/>
        <v/>
      </c>
      <c r="Q78" t="str">
        <f t="shared" si="13"/>
        <v/>
      </c>
      <c r="R78" t="str">
        <f t="shared" si="14"/>
        <v/>
      </c>
      <c r="S78" s="1" t="str">
        <f t="shared" si="15"/>
        <v>weekly</v>
      </c>
      <c r="T78" s="4" t="str">
        <f t="shared" si="16"/>
        <v/>
      </c>
      <c r="U78" s="10" t="str">
        <f t="shared" si="17"/>
        <v/>
      </c>
      <c r="V78" s="10" t="str">
        <f t="shared" si="18"/>
        <v/>
      </c>
      <c r="W78" s="33" t="str">
        <f t="shared" si="19"/>
        <v/>
      </c>
      <c r="AA78" s="9"/>
      <c r="AB78" s="4"/>
    </row>
    <row r="79" spans="3:28">
      <c r="E79" s="2"/>
      <c r="I79" s="31"/>
      <c r="J79" s="16"/>
      <c r="N79" s="6" t="str">
        <f t="shared" si="10"/>
        <v/>
      </c>
      <c r="O79" s="4" t="str">
        <f t="shared" si="11"/>
        <v/>
      </c>
      <c r="P79" s="4" t="str">
        <f t="shared" si="12"/>
        <v/>
      </c>
      <c r="Q79" t="str">
        <f t="shared" si="13"/>
        <v/>
      </c>
      <c r="R79" t="str">
        <f t="shared" si="14"/>
        <v/>
      </c>
      <c r="S79" s="1" t="str">
        <f t="shared" si="15"/>
        <v>weekly</v>
      </c>
      <c r="T79" s="4" t="str">
        <f t="shared" si="16"/>
        <v/>
      </c>
      <c r="U79" s="10" t="str">
        <f t="shared" si="17"/>
        <v/>
      </c>
      <c r="V79" s="10" t="str">
        <f t="shared" si="18"/>
        <v/>
      </c>
      <c r="W79" s="33" t="str">
        <f t="shared" si="19"/>
        <v/>
      </c>
      <c r="AA79" s="9"/>
      <c r="AB79" s="4"/>
    </row>
    <row r="80" spans="3:28">
      <c r="E80" s="2"/>
      <c r="I80" s="31"/>
      <c r="J80" s="16"/>
      <c r="N80" s="6" t="str">
        <f t="shared" si="10"/>
        <v/>
      </c>
      <c r="O80" s="4" t="str">
        <f t="shared" si="11"/>
        <v/>
      </c>
      <c r="P80" s="4" t="str">
        <f t="shared" si="12"/>
        <v/>
      </c>
      <c r="Q80" t="str">
        <f t="shared" si="13"/>
        <v/>
      </c>
      <c r="R80" t="str">
        <f t="shared" si="14"/>
        <v/>
      </c>
      <c r="S80" s="1" t="str">
        <f t="shared" si="15"/>
        <v>weekly</v>
      </c>
      <c r="T80" s="4" t="str">
        <f t="shared" si="16"/>
        <v/>
      </c>
      <c r="U80" s="10" t="str">
        <f t="shared" si="17"/>
        <v/>
      </c>
      <c r="V80" s="10" t="str">
        <f t="shared" si="18"/>
        <v/>
      </c>
      <c r="W80" s="33" t="str">
        <f t="shared" si="19"/>
        <v/>
      </c>
      <c r="AA80" s="9"/>
      <c r="AB80" s="4"/>
    </row>
    <row r="81" spans="1:28">
      <c r="C81" s="54"/>
      <c r="D81" s="23"/>
      <c r="E81" s="35"/>
      <c r="F81" s="22"/>
      <c r="G81" s="22"/>
      <c r="H81" s="36"/>
      <c r="I81" s="37"/>
      <c r="J81" s="39"/>
      <c r="K81" s="24"/>
      <c r="L81" s="24"/>
      <c r="M81" s="21"/>
      <c r="N81" s="6" t="str">
        <f t="shared" si="10"/>
        <v/>
      </c>
      <c r="O81" s="4" t="str">
        <f t="shared" si="11"/>
        <v/>
      </c>
      <c r="P81" s="4" t="str">
        <f t="shared" si="12"/>
        <v/>
      </c>
      <c r="Q81" t="str">
        <f t="shared" si="13"/>
        <v/>
      </c>
      <c r="R81" t="str">
        <f t="shared" si="14"/>
        <v/>
      </c>
      <c r="S81" s="1" t="str">
        <f t="shared" si="15"/>
        <v>weekly</v>
      </c>
      <c r="T81" s="4" t="str">
        <f t="shared" si="16"/>
        <v/>
      </c>
      <c r="U81" s="10" t="str">
        <f t="shared" si="17"/>
        <v/>
      </c>
      <c r="V81" s="10" t="str">
        <f t="shared" si="18"/>
        <v/>
      </c>
      <c r="W81" s="33" t="str">
        <f t="shared" si="19"/>
        <v/>
      </c>
      <c r="AA81" s="9"/>
      <c r="AB81" s="4"/>
    </row>
    <row r="82" spans="1:28">
      <c r="A82" s="20"/>
      <c r="B82" s="20"/>
      <c r="C82" s="50"/>
      <c r="D82" s="51"/>
      <c r="E82" s="52"/>
      <c r="F82" s="53"/>
      <c r="G82" s="53"/>
      <c r="I82" s="31"/>
      <c r="J82" s="16"/>
      <c r="L82" s="22"/>
      <c r="M82" s="23"/>
      <c r="N82" s="6" t="str">
        <f t="shared" si="10"/>
        <v/>
      </c>
      <c r="O82" s="4" t="str">
        <f t="shared" si="11"/>
        <v/>
      </c>
      <c r="P82" s="4" t="str">
        <f t="shared" si="12"/>
        <v/>
      </c>
      <c r="Q82" t="str">
        <f t="shared" si="13"/>
        <v/>
      </c>
      <c r="R82" t="str">
        <f t="shared" si="14"/>
        <v/>
      </c>
      <c r="S82" s="1" t="str">
        <f t="shared" si="15"/>
        <v>weekly</v>
      </c>
      <c r="T82" s="4" t="str">
        <f t="shared" si="16"/>
        <v/>
      </c>
      <c r="U82" s="10" t="str">
        <f t="shared" si="17"/>
        <v/>
      </c>
      <c r="V82" s="10" t="str">
        <f t="shared" si="18"/>
        <v/>
      </c>
      <c r="W82" s="33" t="str">
        <f t="shared" si="19"/>
        <v/>
      </c>
      <c r="AA82" s="9"/>
      <c r="AB82" s="4"/>
    </row>
    <row r="83" spans="1:28">
      <c r="E83" s="2"/>
      <c r="I83" s="31"/>
      <c r="J83" s="16"/>
      <c r="N83" s="6" t="str">
        <f t="shared" si="10"/>
        <v/>
      </c>
      <c r="O83" s="4" t="str">
        <f t="shared" si="11"/>
        <v/>
      </c>
      <c r="P83" s="4" t="str">
        <f t="shared" si="12"/>
        <v/>
      </c>
      <c r="Q83" t="str">
        <f t="shared" si="13"/>
        <v/>
      </c>
      <c r="R83" t="str">
        <f t="shared" si="14"/>
        <v/>
      </c>
      <c r="S83" s="1" t="str">
        <f t="shared" si="15"/>
        <v>weekly</v>
      </c>
      <c r="T83" s="4" t="str">
        <f t="shared" si="16"/>
        <v/>
      </c>
      <c r="U83" s="10" t="str">
        <f t="shared" si="17"/>
        <v/>
      </c>
      <c r="V83" s="10" t="str">
        <f t="shared" si="18"/>
        <v/>
      </c>
      <c r="W83" s="33" t="str">
        <f t="shared" si="19"/>
        <v/>
      </c>
      <c r="AA83" s="9"/>
      <c r="AB83" s="4"/>
    </row>
    <row r="84" spans="1:28">
      <c r="E84" s="2"/>
      <c r="I84" s="31"/>
      <c r="J84" s="16"/>
      <c r="N84" s="6" t="str">
        <f t="shared" si="10"/>
        <v/>
      </c>
      <c r="O84" s="4" t="str">
        <f t="shared" si="11"/>
        <v/>
      </c>
      <c r="P84" s="4" t="str">
        <f t="shared" si="12"/>
        <v/>
      </c>
      <c r="Q84" t="str">
        <f t="shared" si="13"/>
        <v/>
      </c>
      <c r="R84" t="str">
        <f t="shared" si="14"/>
        <v/>
      </c>
      <c r="S84" s="1" t="str">
        <f t="shared" si="15"/>
        <v>weekly</v>
      </c>
      <c r="T84" s="4" t="str">
        <f t="shared" si="16"/>
        <v/>
      </c>
      <c r="U84" s="10" t="str">
        <f t="shared" si="17"/>
        <v/>
      </c>
      <c r="V84" s="10" t="str">
        <f t="shared" si="18"/>
        <v/>
      </c>
      <c r="W84" s="33" t="str">
        <f t="shared" si="19"/>
        <v/>
      </c>
      <c r="AA84" s="9"/>
      <c r="AB84" s="4"/>
    </row>
    <row r="85" spans="1:28">
      <c r="E85" s="2"/>
      <c r="I85" s="31"/>
      <c r="J85" s="16"/>
      <c r="N85" s="6" t="str">
        <f t="shared" si="10"/>
        <v/>
      </c>
      <c r="O85" s="4" t="str">
        <f t="shared" si="11"/>
        <v/>
      </c>
      <c r="P85" s="4" t="str">
        <f t="shared" si="12"/>
        <v/>
      </c>
      <c r="Q85" t="str">
        <f t="shared" si="13"/>
        <v/>
      </c>
      <c r="R85" t="str">
        <f t="shared" si="14"/>
        <v/>
      </c>
      <c r="S85" s="1" t="str">
        <f t="shared" si="15"/>
        <v>weekly</v>
      </c>
      <c r="T85" s="4" t="str">
        <f t="shared" si="16"/>
        <v/>
      </c>
      <c r="U85" s="10" t="str">
        <f t="shared" si="17"/>
        <v/>
      </c>
      <c r="V85" s="10" t="str">
        <f t="shared" si="18"/>
        <v/>
      </c>
      <c r="W85" s="33" t="str">
        <f t="shared" si="19"/>
        <v/>
      </c>
      <c r="AA85" s="9"/>
      <c r="AB85" s="4"/>
    </row>
    <row r="86" spans="1:28">
      <c r="E86" s="2"/>
      <c r="I86" s="31"/>
      <c r="J86" s="16"/>
      <c r="N86" s="6" t="str">
        <f t="shared" si="10"/>
        <v/>
      </c>
      <c r="O86" s="4" t="str">
        <f t="shared" si="11"/>
        <v/>
      </c>
      <c r="P86" s="4" t="str">
        <f t="shared" si="12"/>
        <v/>
      </c>
      <c r="Q86" t="str">
        <f t="shared" si="13"/>
        <v/>
      </c>
      <c r="R86" t="str">
        <f t="shared" si="14"/>
        <v/>
      </c>
      <c r="S86" s="1" t="str">
        <f t="shared" si="15"/>
        <v>weekly</v>
      </c>
      <c r="T86" s="4" t="str">
        <f t="shared" si="16"/>
        <v/>
      </c>
      <c r="U86" s="10" t="str">
        <f t="shared" si="17"/>
        <v/>
      </c>
      <c r="V86" s="10" t="str">
        <f t="shared" si="18"/>
        <v/>
      </c>
      <c r="W86" s="33" t="str">
        <f t="shared" si="19"/>
        <v/>
      </c>
      <c r="AA86" s="9"/>
      <c r="AB86" s="4"/>
    </row>
    <row r="87" spans="1:28">
      <c r="E87" s="2"/>
      <c r="I87" s="31"/>
      <c r="J87" s="16"/>
      <c r="N87" s="6" t="str">
        <f t="shared" si="10"/>
        <v/>
      </c>
      <c r="O87" s="4" t="str">
        <f t="shared" si="11"/>
        <v/>
      </c>
      <c r="P87" s="4" t="str">
        <f t="shared" si="12"/>
        <v/>
      </c>
      <c r="Q87" t="str">
        <f t="shared" si="13"/>
        <v/>
      </c>
      <c r="R87" t="str">
        <f t="shared" si="14"/>
        <v/>
      </c>
      <c r="S87" s="1" t="str">
        <f t="shared" si="15"/>
        <v>weekly</v>
      </c>
      <c r="T87" s="4" t="str">
        <f t="shared" si="16"/>
        <v/>
      </c>
      <c r="U87" s="10" t="str">
        <f t="shared" si="17"/>
        <v/>
      </c>
      <c r="V87" s="10" t="str">
        <f t="shared" si="18"/>
        <v/>
      </c>
      <c r="W87" s="33" t="str">
        <f t="shared" si="19"/>
        <v/>
      </c>
      <c r="AA87" s="9"/>
      <c r="AB87" s="4"/>
    </row>
    <row r="88" spans="1:28">
      <c r="E88" s="2"/>
      <c r="I88" s="31"/>
      <c r="J88" s="16"/>
      <c r="N88" s="6" t="str">
        <f t="shared" si="10"/>
        <v/>
      </c>
      <c r="O88" s="4" t="str">
        <f t="shared" si="11"/>
        <v/>
      </c>
      <c r="P88" s="4" t="str">
        <f t="shared" si="12"/>
        <v/>
      </c>
      <c r="Q88" t="str">
        <f t="shared" si="13"/>
        <v/>
      </c>
      <c r="R88" t="str">
        <f t="shared" si="14"/>
        <v/>
      </c>
      <c r="S88" s="1" t="str">
        <f t="shared" si="15"/>
        <v>weekly</v>
      </c>
      <c r="T88" s="4" t="str">
        <f t="shared" si="16"/>
        <v/>
      </c>
      <c r="U88" s="10" t="str">
        <f t="shared" si="17"/>
        <v/>
      </c>
      <c r="V88" s="10" t="str">
        <f t="shared" si="18"/>
        <v/>
      </c>
      <c r="W88" s="33" t="str">
        <f t="shared" si="19"/>
        <v/>
      </c>
      <c r="AA88" s="9"/>
      <c r="AB88" s="4"/>
    </row>
    <row r="89" spans="1:28">
      <c r="E89" s="2"/>
      <c r="I89" s="31"/>
      <c r="J89" s="16"/>
      <c r="N89" s="6" t="str">
        <f t="shared" si="10"/>
        <v/>
      </c>
      <c r="O89" s="4" t="str">
        <f t="shared" si="11"/>
        <v/>
      </c>
      <c r="P89" s="4" t="str">
        <f t="shared" si="12"/>
        <v/>
      </c>
      <c r="Q89" t="str">
        <f t="shared" si="13"/>
        <v/>
      </c>
      <c r="R89" t="str">
        <f t="shared" si="14"/>
        <v/>
      </c>
      <c r="S89" s="1" t="str">
        <f t="shared" si="15"/>
        <v>weekly</v>
      </c>
      <c r="T89" s="4" t="str">
        <f t="shared" si="16"/>
        <v/>
      </c>
      <c r="U89" s="10" t="str">
        <f t="shared" si="17"/>
        <v/>
      </c>
      <c r="V89" s="10" t="str">
        <f t="shared" si="18"/>
        <v/>
      </c>
      <c r="W89" s="33" t="str">
        <f t="shared" si="19"/>
        <v/>
      </c>
      <c r="AA89" s="9"/>
      <c r="AB89" s="4"/>
    </row>
    <row r="90" spans="1:28">
      <c r="E90" s="2"/>
      <c r="I90" s="31"/>
      <c r="J90" s="16"/>
      <c r="N90" s="6" t="str">
        <f t="shared" si="10"/>
        <v/>
      </c>
      <c r="O90" s="4" t="str">
        <f t="shared" si="11"/>
        <v/>
      </c>
      <c r="P90" s="4" t="str">
        <f t="shared" si="12"/>
        <v/>
      </c>
      <c r="Q90" t="str">
        <f t="shared" si="13"/>
        <v/>
      </c>
      <c r="R90" t="str">
        <f t="shared" si="14"/>
        <v/>
      </c>
      <c r="S90" s="1" t="str">
        <f t="shared" si="15"/>
        <v>weekly</v>
      </c>
      <c r="T90" s="4" t="str">
        <f t="shared" si="16"/>
        <v/>
      </c>
      <c r="U90" s="10" t="str">
        <f t="shared" si="17"/>
        <v/>
      </c>
      <c r="V90" s="10" t="str">
        <f t="shared" si="18"/>
        <v/>
      </c>
      <c r="W90" s="33" t="str">
        <f t="shared" si="19"/>
        <v/>
      </c>
      <c r="AA90" s="9"/>
      <c r="AB90" s="4"/>
    </row>
    <row r="91" spans="1:28">
      <c r="E91" s="2"/>
      <c r="I91" s="31"/>
      <c r="J91" s="16"/>
      <c r="N91" s="6" t="str">
        <f t="shared" si="10"/>
        <v/>
      </c>
      <c r="O91" s="4" t="str">
        <f t="shared" si="11"/>
        <v/>
      </c>
      <c r="P91" s="4" t="str">
        <f t="shared" si="12"/>
        <v/>
      </c>
      <c r="Q91" t="str">
        <f t="shared" si="13"/>
        <v/>
      </c>
      <c r="R91" t="str">
        <f t="shared" si="14"/>
        <v/>
      </c>
      <c r="S91" s="1" t="str">
        <f t="shared" si="15"/>
        <v>weekly</v>
      </c>
      <c r="T91" s="4" t="str">
        <f t="shared" si="16"/>
        <v/>
      </c>
      <c r="U91" s="10" t="str">
        <f t="shared" si="17"/>
        <v/>
      </c>
      <c r="V91" s="10" t="str">
        <f t="shared" si="18"/>
        <v/>
      </c>
      <c r="W91" s="33" t="str">
        <f t="shared" si="19"/>
        <v/>
      </c>
      <c r="AA91" s="9"/>
      <c r="AB91" s="4"/>
    </row>
    <row r="92" spans="1:28">
      <c r="E92" s="2"/>
      <c r="I92" s="31"/>
      <c r="J92" s="16"/>
      <c r="N92" s="6" t="str">
        <f t="shared" si="10"/>
        <v/>
      </c>
      <c r="O92" s="4" t="str">
        <f t="shared" si="11"/>
        <v/>
      </c>
      <c r="P92" s="4" t="str">
        <f t="shared" si="12"/>
        <v/>
      </c>
      <c r="Q92" t="str">
        <f t="shared" si="13"/>
        <v/>
      </c>
      <c r="R92" t="str">
        <f t="shared" si="14"/>
        <v/>
      </c>
      <c r="S92" s="1" t="str">
        <f t="shared" si="15"/>
        <v>weekly</v>
      </c>
      <c r="T92" s="4" t="str">
        <f t="shared" si="16"/>
        <v/>
      </c>
      <c r="U92" s="10" t="str">
        <f t="shared" si="17"/>
        <v/>
      </c>
      <c r="V92" s="10" t="str">
        <f t="shared" si="18"/>
        <v/>
      </c>
      <c r="W92" s="33" t="str">
        <f t="shared" si="19"/>
        <v/>
      </c>
      <c r="AA92" s="9"/>
      <c r="AB92" s="4"/>
    </row>
    <row r="93" spans="1:28">
      <c r="E93" s="2"/>
      <c r="I93" s="31"/>
      <c r="J93" s="16"/>
      <c r="N93" s="6" t="str">
        <f t="shared" si="10"/>
        <v/>
      </c>
      <c r="O93" s="4" t="str">
        <f t="shared" si="11"/>
        <v/>
      </c>
      <c r="P93" s="4" t="str">
        <f t="shared" si="12"/>
        <v/>
      </c>
      <c r="Q93" t="str">
        <f t="shared" si="13"/>
        <v/>
      </c>
      <c r="R93" t="str">
        <f t="shared" si="14"/>
        <v/>
      </c>
      <c r="S93" s="1" t="str">
        <f t="shared" si="15"/>
        <v>weekly</v>
      </c>
      <c r="T93" s="4" t="str">
        <f t="shared" si="16"/>
        <v/>
      </c>
      <c r="U93" s="10" t="str">
        <f t="shared" si="17"/>
        <v/>
      </c>
      <c r="V93" s="10" t="str">
        <f t="shared" si="18"/>
        <v/>
      </c>
      <c r="W93" s="33" t="str">
        <f t="shared" si="19"/>
        <v/>
      </c>
      <c r="AA93" s="9"/>
      <c r="AB93" s="4"/>
    </row>
    <row r="94" spans="1:28">
      <c r="E94" s="2"/>
      <c r="I94" s="31"/>
      <c r="J94" s="16"/>
      <c r="N94" s="6" t="str">
        <f t="shared" si="10"/>
        <v/>
      </c>
      <c r="O94" s="4" t="str">
        <f t="shared" si="11"/>
        <v/>
      </c>
      <c r="P94" s="4" t="str">
        <f t="shared" si="12"/>
        <v/>
      </c>
      <c r="Q94" t="str">
        <f t="shared" si="13"/>
        <v/>
      </c>
      <c r="R94" t="str">
        <f t="shared" si="14"/>
        <v/>
      </c>
      <c r="S94" s="1" t="str">
        <f t="shared" si="15"/>
        <v>weekly</v>
      </c>
      <c r="T94" s="4" t="str">
        <f t="shared" si="16"/>
        <v/>
      </c>
      <c r="U94" s="10" t="str">
        <f t="shared" si="17"/>
        <v/>
      </c>
      <c r="V94" s="10" t="str">
        <f t="shared" si="18"/>
        <v/>
      </c>
      <c r="W94" s="33" t="str">
        <f t="shared" si="19"/>
        <v/>
      </c>
      <c r="AA94" s="9"/>
      <c r="AB94" s="4"/>
    </row>
    <row r="95" spans="1:28">
      <c r="E95" s="2"/>
      <c r="I95" s="31"/>
      <c r="J95" s="16"/>
      <c r="N95" s="6" t="str">
        <f t="shared" si="10"/>
        <v/>
      </c>
      <c r="O95" s="4" t="str">
        <f t="shared" si="11"/>
        <v/>
      </c>
      <c r="P95" s="4" t="str">
        <f t="shared" si="12"/>
        <v/>
      </c>
      <c r="Q95" t="str">
        <f t="shared" si="13"/>
        <v/>
      </c>
      <c r="R95" t="str">
        <f t="shared" si="14"/>
        <v/>
      </c>
      <c r="S95" s="1" t="str">
        <f t="shared" si="15"/>
        <v>weekly</v>
      </c>
      <c r="T95" s="4" t="str">
        <f t="shared" si="16"/>
        <v/>
      </c>
      <c r="U95" s="10" t="str">
        <f t="shared" si="17"/>
        <v/>
      </c>
      <c r="V95" s="10" t="str">
        <f t="shared" si="18"/>
        <v/>
      </c>
      <c r="W95" s="33" t="str">
        <f t="shared" si="19"/>
        <v/>
      </c>
      <c r="AA95" s="9"/>
      <c r="AB95" s="4"/>
    </row>
    <row r="96" spans="1:28">
      <c r="E96" s="2"/>
      <c r="I96" s="31"/>
      <c r="J96" s="16"/>
      <c r="N96" s="6" t="str">
        <f t="shared" si="10"/>
        <v/>
      </c>
      <c r="O96" s="4" t="str">
        <f t="shared" si="11"/>
        <v/>
      </c>
      <c r="P96" s="4" t="str">
        <f t="shared" si="12"/>
        <v/>
      </c>
      <c r="Q96" t="str">
        <f t="shared" si="13"/>
        <v/>
      </c>
      <c r="R96" t="str">
        <f t="shared" si="14"/>
        <v/>
      </c>
      <c r="S96" s="1" t="str">
        <f t="shared" si="15"/>
        <v>weekly</v>
      </c>
      <c r="T96" s="4" t="str">
        <f t="shared" si="16"/>
        <v/>
      </c>
      <c r="U96" s="10" t="str">
        <f t="shared" si="17"/>
        <v/>
      </c>
      <c r="V96" s="10" t="str">
        <f t="shared" si="18"/>
        <v/>
      </c>
      <c r="W96" s="33" t="str">
        <f t="shared" si="19"/>
        <v/>
      </c>
      <c r="AA96" s="9"/>
      <c r="AB96" s="4"/>
    </row>
    <row r="97" spans="5:28">
      <c r="E97" s="2"/>
      <c r="I97" s="31"/>
      <c r="J97" s="16"/>
      <c r="N97" s="6" t="str">
        <f t="shared" si="10"/>
        <v/>
      </c>
      <c r="O97" s="4" t="str">
        <f t="shared" si="11"/>
        <v/>
      </c>
      <c r="P97" s="4" t="str">
        <f t="shared" si="12"/>
        <v/>
      </c>
      <c r="Q97" t="str">
        <f t="shared" si="13"/>
        <v/>
      </c>
      <c r="R97" t="str">
        <f t="shared" si="14"/>
        <v/>
      </c>
      <c r="S97" s="1" t="str">
        <f t="shared" si="15"/>
        <v>weekly</v>
      </c>
      <c r="T97" s="4" t="str">
        <f t="shared" si="16"/>
        <v/>
      </c>
      <c r="U97" s="10" t="str">
        <f t="shared" si="17"/>
        <v/>
      </c>
      <c r="V97" s="10" t="str">
        <f t="shared" si="18"/>
        <v/>
      </c>
      <c r="W97" s="33" t="str">
        <f t="shared" si="19"/>
        <v/>
      </c>
      <c r="AA97" s="9"/>
      <c r="AB97" s="4"/>
    </row>
    <row r="98" spans="5:28">
      <c r="E98" s="2"/>
      <c r="I98" s="31"/>
      <c r="J98" s="16"/>
      <c r="N98" s="6" t="str">
        <f t="shared" si="10"/>
        <v/>
      </c>
      <c r="O98" s="4" t="str">
        <f t="shared" si="11"/>
        <v/>
      </c>
      <c r="P98" s="4" t="str">
        <f t="shared" si="12"/>
        <v/>
      </c>
      <c r="Q98" t="str">
        <f t="shared" si="13"/>
        <v/>
      </c>
      <c r="R98" t="str">
        <f t="shared" si="14"/>
        <v/>
      </c>
      <c r="S98" s="1" t="str">
        <f t="shared" si="15"/>
        <v>weekly</v>
      </c>
      <c r="T98" s="4" t="str">
        <f t="shared" si="16"/>
        <v/>
      </c>
      <c r="U98" s="10" t="str">
        <f t="shared" si="17"/>
        <v/>
      </c>
      <c r="V98" s="10" t="str">
        <f t="shared" si="18"/>
        <v/>
      </c>
      <c r="W98" s="33" t="str">
        <f t="shared" si="19"/>
        <v/>
      </c>
      <c r="AA98" s="9"/>
      <c r="AB98" s="4"/>
    </row>
    <row r="99" spans="5:28">
      <c r="E99" s="2"/>
      <c r="I99" s="31"/>
      <c r="J99" s="16"/>
      <c r="N99" s="6" t="str">
        <f t="shared" si="10"/>
        <v/>
      </c>
      <c r="O99" s="4" t="str">
        <f t="shared" si="11"/>
        <v/>
      </c>
      <c r="P99" s="4" t="str">
        <f t="shared" si="12"/>
        <v/>
      </c>
      <c r="Q99" t="str">
        <f t="shared" si="13"/>
        <v/>
      </c>
      <c r="R99" t="str">
        <f t="shared" si="14"/>
        <v/>
      </c>
      <c r="S99" s="1" t="str">
        <f t="shared" si="15"/>
        <v>weekly</v>
      </c>
      <c r="T99" s="4" t="str">
        <f t="shared" si="16"/>
        <v/>
      </c>
      <c r="U99" s="10" t="str">
        <f t="shared" si="17"/>
        <v/>
      </c>
      <c r="V99" s="10" t="str">
        <f t="shared" si="18"/>
        <v/>
      </c>
      <c r="W99" s="33" t="str">
        <f t="shared" si="19"/>
        <v/>
      </c>
      <c r="AA99" s="9"/>
      <c r="AB99" s="4"/>
    </row>
    <row r="100" spans="5:28">
      <c r="E100" s="2"/>
      <c r="I100" s="31"/>
      <c r="J100" s="16"/>
      <c r="N100" s="6" t="str">
        <f t="shared" si="10"/>
        <v/>
      </c>
      <c r="O100" s="4" t="str">
        <f t="shared" si="11"/>
        <v/>
      </c>
      <c r="P100" s="4" t="str">
        <f t="shared" si="12"/>
        <v/>
      </c>
      <c r="Q100" t="str">
        <f t="shared" si="13"/>
        <v/>
      </c>
      <c r="R100" t="str">
        <f t="shared" si="14"/>
        <v/>
      </c>
      <c r="S100" s="1" t="str">
        <f t="shared" si="15"/>
        <v>weekly</v>
      </c>
      <c r="T100" s="4" t="str">
        <f t="shared" si="16"/>
        <v/>
      </c>
      <c r="U100" s="10" t="str">
        <f t="shared" si="17"/>
        <v/>
      </c>
      <c r="V100" s="10" t="str">
        <f t="shared" si="18"/>
        <v/>
      </c>
      <c r="W100" s="33" t="str">
        <f t="shared" si="19"/>
        <v/>
      </c>
      <c r="AA100" s="9"/>
      <c r="AB100" s="4"/>
    </row>
    <row r="101" spans="5:28">
      <c r="E101" s="2"/>
      <c r="I101" s="31"/>
      <c r="J101" s="16"/>
      <c r="N101" s="6" t="str">
        <f t="shared" si="10"/>
        <v/>
      </c>
      <c r="O101" s="4" t="str">
        <f t="shared" si="11"/>
        <v/>
      </c>
      <c r="P101" s="4" t="str">
        <f t="shared" si="12"/>
        <v/>
      </c>
      <c r="Q101" t="str">
        <f t="shared" si="13"/>
        <v/>
      </c>
      <c r="R101" t="str">
        <f t="shared" si="14"/>
        <v/>
      </c>
      <c r="S101" s="1" t="str">
        <f t="shared" si="15"/>
        <v>weekly</v>
      </c>
      <c r="T101" s="4" t="str">
        <f t="shared" si="16"/>
        <v/>
      </c>
      <c r="U101" s="10" t="str">
        <f t="shared" si="17"/>
        <v/>
      </c>
      <c r="V101" s="10" t="str">
        <f t="shared" si="18"/>
        <v/>
      </c>
      <c r="W101" s="33" t="str">
        <f t="shared" si="19"/>
        <v/>
      </c>
      <c r="AA101" s="9"/>
      <c r="AB101" s="4"/>
    </row>
    <row r="102" spans="5:28">
      <c r="E102" s="2"/>
      <c r="I102" s="31"/>
      <c r="J102" s="16"/>
      <c r="N102" s="6" t="str">
        <f t="shared" si="10"/>
        <v/>
      </c>
      <c r="O102" s="4" t="str">
        <f t="shared" si="11"/>
        <v/>
      </c>
      <c r="P102" s="4" t="str">
        <f t="shared" si="12"/>
        <v/>
      </c>
      <c r="Q102" t="str">
        <f t="shared" si="13"/>
        <v/>
      </c>
      <c r="R102" t="str">
        <f t="shared" si="14"/>
        <v/>
      </c>
      <c r="S102" s="1" t="str">
        <f t="shared" si="15"/>
        <v>weekly</v>
      </c>
      <c r="T102" s="4" t="str">
        <f t="shared" si="16"/>
        <v/>
      </c>
      <c r="U102" s="10" t="str">
        <f t="shared" si="17"/>
        <v/>
      </c>
      <c r="V102" s="10" t="str">
        <f t="shared" si="18"/>
        <v/>
      </c>
      <c r="W102" s="33" t="str">
        <f t="shared" si="19"/>
        <v/>
      </c>
      <c r="AA102" s="9"/>
      <c r="AB102" s="4"/>
    </row>
    <row r="103" spans="5:28">
      <c r="E103" s="2"/>
      <c r="I103" s="31"/>
      <c r="J103" s="16"/>
      <c r="N103" s="6" t="str">
        <f t="shared" si="10"/>
        <v/>
      </c>
      <c r="O103" s="4" t="str">
        <f t="shared" si="11"/>
        <v/>
      </c>
      <c r="P103" s="4" t="str">
        <f t="shared" si="12"/>
        <v/>
      </c>
      <c r="Q103" t="str">
        <f t="shared" si="13"/>
        <v/>
      </c>
      <c r="R103" t="str">
        <f t="shared" si="14"/>
        <v/>
      </c>
      <c r="S103" s="1" t="str">
        <f t="shared" si="15"/>
        <v>weekly</v>
      </c>
      <c r="T103" s="4" t="str">
        <f t="shared" si="16"/>
        <v/>
      </c>
      <c r="U103" s="10" t="str">
        <f t="shared" si="17"/>
        <v/>
      </c>
      <c r="V103" s="10" t="str">
        <f t="shared" si="18"/>
        <v/>
      </c>
      <c r="W103" s="33" t="str">
        <f t="shared" si="19"/>
        <v/>
      </c>
      <c r="AA103" s="9"/>
      <c r="AB103" s="4"/>
    </row>
    <row r="104" spans="5:28">
      <c r="E104" s="2"/>
      <c r="I104" s="31"/>
      <c r="J104" s="16"/>
      <c r="N104" s="6" t="str">
        <f t="shared" si="10"/>
        <v/>
      </c>
      <c r="O104" s="4" t="str">
        <f t="shared" si="11"/>
        <v/>
      </c>
      <c r="P104" s="4" t="str">
        <f t="shared" si="12"/>
        <v/>
      </c>
      <c r="Q104" t="str">
        <f t="shared" si="13"/>
        <v/>
      </c>
      <c r="R104" t="str">
        <f t="shared" si="14"/>
        <v/>
      </c>
      <c r="S104" s="1" t="str">
        <f t="shared" si="15"/>
        <v>weekly</v>
      </c>
      <c r="T104" s="4" t="str">
        <f t="shared" si="16"/>
        <v/>
      </c>
      <c r="U104" s="10" t="str">
        <f t="shared" si="17"/>
        <v/>
      </c>
      <c r="V104" s="10" t="str">
        <f t="shared" si="18"/>
        <v/>
      </c>
      <c r="W104" s="33" t="str">
        <f t="shared" si="19"/>
        <v/>
      </c>
      <c r="AA104" s="9"/>
      <c r="AB104" s="4"/>
    </row>
    <row r="105" spans="5:28">
      <c r="E105" s="2"/>
      <c r="I105" s="31"/>
      <c r="J105" s="16"/>
      <c r="N105" s="6" t="str">
        <f t="shared" si="10"/>
        <v/>
      </c>
      <c r="O105" s="4" t="str">
        <f t="shared" si="11"/>
        <v/>
      </c>
      <c r="P105" s="4" t="str">
        <f t="shared" si="12"/>
        <v/>
      </c>
      <c r="Q105" t="str">
        <f t="shared" si="13"/>
        <v/>
      </c>
      <c r="R105" t="str">
        <f t="shared" si="14"/>
        <v/>
      </c>
      <c r="S105" s="1" t="str">
        <f t="shared" si="15"/>
        <v>weekly</v>
      </c>
      <c r="T105" s="4" t="str">
        <f t="shared" si="16"/>
        <v/>
      </c>
      <c r="U105" s="10" t="str">
        <f t="shared" si="17"/>
        <v/>
      </c>
      <c r="V105" s="10" t="str">
        <f t="shared" si="18"/>
        <v/>
      </c>
      <c r="W105" s="33" t="str">
        <f t="shared" si="19"/>
        <v/>
      </c>
      <c r="AA105" s="9"/>
      <c r="AB105" s="4"/>
    </row>
    <row r="106" spans="5:28">
      <c r="E106" s="2"/>
      <c r="I106" s="31"/>
      <c r="J106" s="16"/>
      <c r="N106" s="6" t="str">
        <f t="shared" si="10"/>
        <v/>
      </c>
      <c r="O106" s="4" t="str">
        <f t="shared" si="11"/>
        <v/>
      </c>
      <c r="P106" s="4" t="str">
        <f t="shared" si="12"/>
        <v/>
      </c>
      <c r="Q106" t="str">
        <f t="shared" si="13"/>
        <v/>
      </c>
      <c r="R106" t="str">
        <f t="shared" si="14"/>
        <v/>
      </c>
      <c r="S106" s="1" t="str">
        <f t="shared" si="15"/>
        <v>weekly</v>
      </c>
      <c r="T106" s="4" t="str">
        <f t="shared" si="16"/>
        <v/>
      </c>
      <c r="U106" s="10" t="str">
        <f t="shared" si="17"/>
        <v/>
      </c>
      <c r="V106" s="10" t="str">
        <f t="shared" si="18"/>
        <v/>
      </c>
      <c r="W106" s="33" t="str">
        <f t="shared" si="19"/>
        <v/>
      </c>
      <c r="AA106" s="9"/>
      <c r="AB106" s="4"/>
    </row>
    <row r="107" spans="5:28">
      <c r="E107" s="2"/>
      <c r="I107" s="31"/>
      <c r="J107" s="16"/>
      <c r="N107" s="6" t="str">
        <f t="shared" si="10"/>
        <v/>
      </c>
      <c r="O107" s="4" t="str">
        <f t="shared" si="11"/>
        <v/>
      </c>
      <c r="P107" s="4" t="str">
        <f t="shared" si="12"/>
        <v/>
      </c>
      <c r="Q107" t="str">
        <f t="shared" si="13"/>
        <v/>
      </c>
      <c r="R107" t="str">
        <f t="shared" si="14"/>
        <v/>
      </c>
      <c r="S107" s="1" t="str">
        <f t="shared" si="15"/>
        <v>weekly</v>
      </c>
      <c r="T107" s="4" t="str">
        <f t="shared" si="16"/>
        <v/>
      </c>
      <c r="U107" s="10" t="str">
        <f t="shared" si="17"/>
        <v/>
      </c>
      <c r="V107" s="10" t="str">
        <f t="shared" si="18"/>
        <v/>
      </c>
      <c r="W107" s="33" t="str">
        <f t="shared" si="19"/>
        <v/>
      </c>
      <c r="AA107" s="9"/>
      <c r="AB107" s="4"/>
    </row>
    <row r="108" spans="5:28">
      <c r="E108" s="2"/>
      <c r="I108" s="31"/>
      <c r="J108" s="16"/>
      <c r="N108" s="6" t="str">
        <f t="shared" si="10"/>
        <v/>
      </c>
      <c r="O108" s="4" t="str">
        <f t="shared" si="11"/>
        <v/>
      </c>
      <c r="P108" s="4" t="str">
        <f t="shared" si="12"/>
        <v/>
      </c>
      <c r="Q108" t="str">
        <f t="shared" si="13"/>
        <v/>
      </c>
      <c r="R108" t="str">
        <f t="shared" si="14"/>
        <v/>
      </c>
      <c r="S108" s="1" t="str">
        <f t="shared" si="15"/>
        <v>weekly</v>
      </c>
      <c r="T108" s="4" t="str">
        <f t="shared" si="16"/>
        <v/>
      </c>
      <c r="U108" s="10" t="str">
        <f t="shared" si="17"/>
        <v/>
      </c>
      <c r="V108" s="10" t="str">
        <f t="shared" si="18"/>
        <v/>
      </c>
      <c r="W108" s="33" t="str">
        <f t="shared" si="19"/>
        <v/>
      </c>
      <c r="AA108" s="9"/>
      <c r="AB108" s="4"/>
    </row>
    <row r="109" spans="5:28">
      <c r="E109" s="2"/>
      <c r="I109" s="31"/>
      <c r="J109" s="16"/>
      <c r="N109" s="6" t="str">
        <f t="shared" si="10"/>
        <v/>
      </c>
      <c r="O109" s="4" t="str">
        <f t="shared" si="11"/>
        <v/>
      </c>
      <c r="P109" s="4" t="str">
        <f t="shared" si="12"/>
        <v/>
      </c>
      <c r="Q109" t="str">
        <f t="shared" si="13"/>
        <v/>
      </c>
      <c r="R109" t="str">
        <f t="shared" si="14"/>
        <v/>
      </c>
      <c r="S109" s="1" t="str">
        <f t="shared" si="15"/>
        <v>weekly</v>
      </c>
      <c r="T109" s="4" t="str">
        <f t="shared" si="16"/>
        <v/>
      </c>
      <c r="U109" s="10" t="str">
        <f t="shared" si="17"/>
        <v/>
      </c>
      <c r="V109" s="10" t="str">
        <f t="shared" si="18"/>
        <v/>
      </c>
      <c r="W109" s="33" t="str">
        <f t="shared" si="19"/>
        <v/>
      </c>
      <c r="AA109" s="9"/>
      <c r="AB109" s="4"/>
    </row>
    <row r="110" spans="5:28">
      <c r="E110" s="2"/>
      <c r="I110" s="31"/>
      <c r="J110" s="16"/>
      <c r="N110" s="6" t="str">
        <f t="shared" si="10"/>
        <v/>
      </c>
      <c r="O110" s="4" t="str">
        <f t="shared" si="11"/>
        <v/>
      </c>
      <c r="P110" s="4" t="str">
        <f t="shared" si="12"/>
        <v/>
      </c>
      <c r="Q110" t="str">
        <f t="shared" si="13"/>
        <v/>
      </c>
      <c r="R110" t="str">
        <f t="shared" si="14"/>
        <v/>
      </c>
      <c r="S110" s="1" t="str">
        <f t="shared" si="15"/>
        <v>weekly</v>
      </c>
      <c r="T110" s="4" t="str">
        <f t="shared" si="16"/>
        <v/>
      </c>
      <c r="U110" s="10" t="str">
        <f t="shared" si="17"/>
        <v/>
      </c>
      <c r="V110" s="10" t="str">
        <f t="shared" si="18"/>
        <v/>
      </c>
      <c r="W110" s="33" t="str">
        <f t="shared" si="19"/>
        <v/>
      </c>
      <c r="AA110" s="9"/>
      <c r="AB110" s="4"/>
    </row>
    <row r="111" spans="5:28">
      <c r="E111" s="2"/>
      <c r="I111" s="31"/>
      <c r="J111" s="16"/>
      <c r="N111" s="6" t="str">
        <f t="shared" si="10"/>
        <v/>
      </c>
      <c r="O111" s="4" t="str">
        <f t="shared" si="11"/>
        <v/>
      </c>
      <c r="P111" s="4" t="str">
        <f t="shared" si="12"/>
        <v/>
      </c>
      <c r="Q111" t="str">
        <f t="shared" si="13"/>
        <v/>
      </c>
      <c r="R111" t="str">
        <f t="shared" si="14"/>
        <v/>
      </c>
      <c r="S111" s="1" t="str">
        <f t="shared" si="15"/>
        <v>weekly</v>
      </c>
      <c r="T111" s="4" t="str">
        <f t="shared" si="16"/>
        <v/>
      </c>
      <c r="U111" s="10" t="str">
        <f t="shared" si="17"/>
        <v/>
      </c>
      <c r="V111" s="10" t="str">
        <f t="shared" si="18"/>
        <v/>
      </c>
      <c r="W111" s="33" t="str">
        <f t="shared" si="19"/>
        <v/>
      </c>
      <c r="AA111" s="9"/>
      <c r="AB111" s="4"/>
    </row>
    <row r="112" spans="5:28">
      <c r="E112" s="2"/>
      <c r="I112" s="31"/>
      <c r="J112" s="16"/>
      <c r="N112" s="6" t="str">
        <f t="shared" si="10"/>
        <v/>
      </c>
      <c r="O112" s="4" t="str">
        <f t="shared" si="11"/>
        <v/>
      </c>
      <c r="P112" s="4" t="str">
        <f t="shared" si="12"/>
        <v/>
      </c>
      <c r="Q112" t="str">
        <f t="shared" si="13"/>
        <v/>
      </c>
      <c r="R112" t="str">
        <f t="shared" si="14"/>
        <v/>
      </c>
      <c r="S112" s="1" t="str">
        <f t="shared" si="15"/>
        <v>weekly</v>
      </c>
      <c r="T112" s="4" t="str">
        <f t="shared" si="16"/>
        <v/>
      </c>
      <c r="U112" s="10" t="str">
        <f t="shared" si="17"/>
        <v/>
      </c>
      <c r="V112" s="10" t="str">
        <f t="shared" si="18"/>
        <v/>
      </c>
      <c r="W112" s="33" t="str">
        <f t="shared" si="19"/>
        <v/>
      </c>
      <c r="AA112" s="9"/>
      <c r="AB112" s="4"/>
    </row>
    <row r="113" spans="5:28">
      <c r="E113" s="2"/>
      <c r="I113" s="31"/>
      <c r="J113" s="16"/>
      <c r="N113" s="6" t="str">
        <f t="shared" si="10"/>
        <v/>
      </c>
      <c r="O113" s="4" t="str">
        <f t="shared" si="11"/>
        <v/>
      </c>
      <c r="P113" s="4" t="str">
        <f t="shared" si="12"/>
        <v/>
      </c>
      <c r="Q113" t="str">
        <f t="shared" si="13"/>
        <v/>
      </c>
      <c r="R113" t="str">
        <f t="shared" si="14"/>
        <v/>
      </c>
      <c r="S113" s="1" t="str">
        <f t="shared" si="15"/>
        <v>weekly</v>
      </c>
      <c r="T113" s="4" t="str">
        <f t="shared" si="16"/>
        <v/>
      </c>
      <c r="U113" s="10" t="str">
        <f t="shared" si="17"/>
        <v/>
      </c>
      <c r="V113" s="10" t="str">
        <f t="shared" si="18"/>
        <v/>
      </c>
      <c r="W113" s="33" t="str">
        <f t="shared" si="19"/>
        <v/>
      </c>
      <c r="AA113" s="9"/>
      <c r="AB113" s="4"/>
    </row>
    <row r="114" spans="5:28">
      <c r="E114" s="2"/>
      <c r="I114" s="31"/>
      <c r="J114" s="16"/>
      <c r="N114" s="6" t="str">
        <f t="shared" si="10"/>
        <v/>
      </c>
      <c r="O114" s="4" t="str">
        <f t="shared" si="11"/>
        <v/>
      </c>
      <c r="P114" s="4" t="str">
        <f t="shared" si="12"/>
        <v/>
      </c>
      <c r="Q114" t="str">
        <f t="shared" si="13"/>
        <v/>
      </c>
      <c r="R114" t="str">
        <f t="shared" si="14"/>
        <v/>
      </c>
      <c r="S114" s="1" t="str">
        <f t="shared" si="15"/>
        <v>weekly</v>
      </c>
      <c r="T114" s="4" t="str">
        <f t="shared" si="16"/>
        <v/>
      </c>
      <c r="U114" s="10" t="str">
        <f t="shared" si="17"/>
        <v/>
      </c>
      <c r="V114" s="10" t="str">
        <f t="shared" si="18"/>
        <v/>
      </c>
      <c r="W114" s="33" t="str">
        <f t="shared" si="19"/>
        <v/>
      </c>
      <c r="AA114" s="9"/>
      <c r="AB114" s="4"/>
    </row>
    <row r="115" spans="5:28">
      <c r="E115" s="2"/>
      <c r="I115" s="31"/>
      <c r="J115" s="16"/>
      <c r="N115" s="6" t="str">
        <f t="shared" si="10"/>
        <v/>
      </c>
      <c r="O115" s="4" t="str">
        <f t="shared" si="11"/>
        <v/>
      </c>
      <c r="P115" s="4" t="str">
        <f t="shared" si="12"/>
        <v/>
      </c>
      <c r="Q115" t="str">
        <f t="shared" si="13"/>
        <v/>
      </c>
      <c r="R115" t="str">
        <f t="shared" si="14"/>
        <v/>
      </c>
      <c r="S115" s="1" t="str">
        <f t="shared" si="15"/>
        <v>weekly</v>
      </c>
      <c r="T115" s="4" t="str">
        <f t="shared" si="16"/>
        <v/>
      </c>
      <c r="U115" s="10" t="str">
        <f t="shared" si="17"/>
        <v/>
      </c>
      <c r="V115" s="10" t="str">
        <f t="shared" si="18"/>
        <v/>
      </c>
      <c r="W115" s="33" t="str">
        <f t="shared" si="19"/>
        <v/>
      </c>
      <c r="AA115" s="9"/>
      <c r="AB115" s="4"/>
    </row>
    <row r="116" spans="5:28">
      <c r="E116" s="2"/>
      <c r="I116" s="31"/>
      <c r="J116" s="16"/>
      <c r="N116" s="6" t="str">
        <f t="shared" si="10"/>
        <v/>
      </c>
      <c r="O116" s="4" t="str">
        <f t="shared" si="11"/>
        <v/>
      </c>
      <c r="P116" s="4" t="str">
        <f t="shared" si="12"/>
        <v/>
      </c>
      <c r="Q116" t="str">
        <f t="shared" si="13"/>
        <v/>
      </c>
      <c r="R116" t="str">
        <f t="shared" si="14"/>
        <v/>
      </c>
      <c r="S116" s="1" t="str">
        <f t="shared" si="15"/>
        <v>weekly</v>
      </c>
      <c r="T116" s="4" t="str">
        <f t="shared" si="16"/>
        <v/>
      </c>
      <c r="U116" s="10" t="str">
        <f t="shared" si="17"/>
        <v/>
      </c>
      <c r="V116" s="10" t="str">
        <f t="shared" si="18"/>
        <v/>
      </c>
      <c r="W116" s="33" t="str">
        <f t="shared" si="19"/>
        <v/>
      </c>
      <c r="AA116" s="9"/>
      <c r="AB116" s="4"/>
    </row>
    <row r="117" spans="5:28">
      <c r="E117" s="2"/>
      <c r="I117" s="31"/>
      <c r="J117" s="16"/>
      <c r="N117" s="6" t="str">
        <f t="shared" si="10"/>
        <v/>
      </c>
      <c r="O117" s="4" t="str">
        <f t="shared" si="11"/>
        <v/>
      </c>
      <c r="P117" s="4" t="str">
        <f t="shared" si="12"/>
        <v/>
      </c>
      <c r="Q117" t="str">
        <f t="shared" si="13"/>
        <v/>
      </c>
      <c r="R117" t="str">
        <f t="shared" si="14"/>
        <v/>
      </c>
      <c r="S117" s="1" t="str">
        <f t="shared" si="15"/>
        <v>weekly</v>
      </c>
      <c r="T117" s="4" t="str">
        <f t="shared" si="16"/>
        <v/>
      </c>
      <c r="U117" s="10" t="str">
        <f t="shared" si="17"/>
        <v/>
      </c>
      <c r="V117" s="10" t="str">
        <f t="shared" si="18"/>
        <v/>
      </c>
      <c r="W117" s="33" t="str">
        <f t="shared" si="19"/>
        <v/>
      </c>
      <c r="AA117" s="9"/>
      <c r="AB117" s="4"/>
    </row>
    <row r="118" spans="5:28">
      <c r="E118" s="2"/>
      <c r="I118" s="31"/>
      <c r="J118" s="16"/>
      <c r="N118" s="6" t="str">
        <f t="shared" si="10"/>
        <v/>
      </c>
      <c r="O118" s="4" t="str">
        <f t="shared" si="11"/>
        <v/>
      </c>
      <c r="P118" s="4" t="str">
        <f t="shared" si="12"/>
        <v/>
      </c>
      <c r="Q118" t="str">
        <f t="shared" si="13"/>
        <v/>
      </c>
      <c r="R118" t="str">
        <f t="shared" si="14"/>
        <v/>
      </c>
      <c r="S118" s="1" t="str">
        <f t="shared" si="15"/>
        <v>weekly</v>
      </c>
      <c r="T118" s="4" t="str">
        <f t="shared" si="16"/>
        <v/>
      </c>
      <c r="U118" s="10" t="str">
        <f t="shared" si="17"/>
        <v/>
      </c>
      <c r="V118" s="10" t="str">
        <f t="shared" si="18"/>
        <v/>
      </c>
      <c r="W118" s="33" t="str">
        <f t="shared" si="19"/>
        <v/>
      </c>
    </row>
    <row r="119" spans="5:28">
      <c r="E119" s="2"/>
      <c r="I119" s="31"/>
      <c r="J119" s="16"/>
      <c r="N119" s="6" t="str">
        <f t="shared" si="10"/>
        <v/>
      </c>
      <c r="O119" s="4" t="str">
        <f t="shared" si="11"/>
        <v/>
      </c>
      <c r="P119" s="4" t="str">
        <f t="shared" si="12"/>
        <v/>
      </c>
      <c r="Q119" t="str">
        <f t="shared" si="13"/>
        <v/>
      </c>
      <c r="R119" t="str">
        <f t="shared" si="14"/>
        <v/>
      </c>
      <c r="S119" s="1" t="str">
        <f t="shared" si="15"/>
        <v>weekly</v>
      </c>
      <c r="T119" s="4" t="str">
        <f t="shared" si="16"/>
        <v/>
      </c>
      <c r="U119" s="10" t="str">
        <f t="shared" si="17"/>
        <v/>
      </c>
      <c r="V119" s="10" t="str">
        <f t="shared" si="18"/>
        <v/>
      </c>
      <c r="W119" s="33" t="str">
        <f t="shared" si="19"/>
        <v/>
      </c>
    </row>
    <row r="120" spans="5:28">
      <c r="E120" s="2"/>
      <c r="I120" s="31"/>
      <c r="J120" s="16"/>
      <c r="N120" s="6" t="str">
        <f t="shared" si="10"/>
        <v/>
      </c>
      <c r="O120" s="4" t="str">
        <f t="shared" si="11"/>
        <v/>
      </c>
      <c r="P120" s="4" t="str">
        <f t="shared" si="12"/>
        <v/>
      </c>
      <c r="Q120" t="str">
        <f t="shared" si="13"/>
        <v/>
      </c>
      <c r="R120" t="str">
        <f t="shared" si="14"/>
        <v/>
      </c>
      <c r="S120" s="1" t="str">
        <f t="shared" si="15"/>
        <v>weekly</v>
      </c>
      <c r="T120" s="4" t="str">
        <f t="shared" si="16"/>
        <v/>
      </c>
      <c r="U120" s="10" t="str">
        <f t="shared" si="17"/>
        <v/>
      </c>
      <c r="V120" s="10" t="str">
        <f t="shared" si="18"/>
        <v/>
      </c>
      <c r="W120" s="33" t="str">
        <f t="shared" si="19"/>
        <v/>
      </c>
    </row>
    <row r="121" spans="5:28">
      <c r="E121" s="2"/>
      <c r="I121" s="31"/>
      <c r="J121" s="16"/>
      <c r="N121" s="6" t="str">
        <f t="shared" si="10"/>
        <v/>
      </c>
      <c r="O121" s="4" t="str">
        <f t="shared" si="11"/>
        <v/>
      </c>
      <c r="P121" s="4" t="str">
        <f t="shared" si="12"/>
        <v/>
      </c>
      <c r="Q121" t="str">
        <f t="shared" si="13"/>
        <v/>
      </c>
      <c r="R121" t="str">
        <f t="shared" si="14"/>
        <v/>
      </c>
      <c r="S121" s="1" t="str">
        <f t="shared" si="15"/>
        <v>weekly</v>
      </c>
      <c r="T121" s="4" t="str">
        <f t="shared" si="16"/>
        <v/>
      </c>
      <c r="U121" s="10" t="str">
        <f t="shared" si="17"/>
        <v/>
      </c>
      <c r="V121" s="10" t="str">
        <f t="shared" si="18"/>
        <v/>
      </c>
      <c r="W121" s="33" t="str">
        <f t="shared" si="19"/>
        <v/>
      </c>
    </row>
    <row r="122" spans="5:28">
      <c r="E122" s="2"/>
      <c r="I122" s="31"/>
      <c r="J122" s="16"/>
      <c r="N122" s="6" t="str">
        <f t="shared" si="10"/>
        <v/>
      </c>
      <c r="O122" s="4" t="str">
        <f t="shared" si="11"/>
        <v/>
      </c>
      <c r="P122" s="4" t="str">
        <f t="shared" si="12"/>
        <v/>
      </c>
      <c r="Q122" t="str">
        <f t="shared" si="13"/>
        <v/>
      </c>
      <c r="R122" t="str">
        <f t="shared" si="14"/>
        <v/>
      </c>
      <c r="S122" s="1" t="str">
        <f t="shared" si="15"/>
        <v>weekly</v>
      </c>
      <c r="T122" s="4" t="str">
        <f t="shared" si="16"/>
        <v/>
      </c>
      <c r="U122" s="10" t="str">
        <f t="shared" si="17"/>
        <v/>
      </c>
      <c r="V122" s="10" t="str">
        <f t="shared" si="18"/>
        <v/>
      </c>
      <c r="W122" s="33" t="str">
        <f t="shared" si="19"/>
        <v/>
      </c>
    </row>
    <row r="123" spans="5:28">
      <c r="E123" s="2"/>
      <c r="I123" s="31"/>
      <c r="J123" s="16"/>
      <c r="N123" s="6" t="str">
        <f t="shared" si="10"/>
        <v/>
      </c>
      <c r="O123" s="4" t="str">
        <f t="shared" si="11"/>
        <v/>
      </c>
      <c r="P123" s="4" t="str">
        <f t="shared" si="12"/>
        <v/>
      </c>
      <c r="Q123" t="str">
        <f t="shared" si="13"/>
        <v/>
      </c>
      <c r="R123" t="str">
        <f t="shared" si="14"/>
        <v/>
      </c>
      <c r="S123" s="1" t="str">
        <f t="shared" si="15"/>
        <v>weekly</v>
      </c>
      <c r="T123" s="4" t="str">
        <f t="shared" si="16"/>
        <v/>
      </c>
      <c r="U123" s="10" t="str">
        <f t="shared" si="17"/>
        <v/>
      </c>
      <c r="V123" s="10" t="str">
        <f t="shared" si="18"/>
        <v/>
      </c>
      <c r="W123" s="33" t="str">
        <f t="shared" si="19"/>
        <v/>
      </c>
    </row>
    <row r="124" spans="5:28">
      <c r="E124" s="2"/>
      <c r="I124" s="31"/>
      <c r="J124" s="16"/>
      <c r="N124" s="6" t="str">
        <f t="shared" si="10"/>
        <v/>
      </c>
      <c r="O124" s="4" t="str">
        <f t="shared" si="11"/>
        <v/>
      </c>
      <c r="P124" s="4" t="str">
        <f t="shared" si="12"/>
        <v/>
      </c>
      <c r="Q124" t="str">
        <f t="shared" si="13"/>
        <v/>
      </c>
      <c r="R124" t="str">
        <f t="shared" si="14"/>
        <v/>
      </c>
      <c r="S124" s="1" t="str">
        <f t="shared" si="15"/>
        <v>weekly</v>
      </c>
      <c r="T124" s="4" t="str">
        <f t="shared" si="16"/>
        <v/>
      </c>
      <c r="U124" s="10" t="str">
        <f t="shared" si="17"/>
        <v/>
      </c>
      <c r="V124" s="10" t="str">
        <f t="shared" si="18"/>
        <v/>
      </c>
      <c r="W124" s="33" t="str">
        <f t="shared" si="19"/>
        <v/>
      </c>
    </row>
    <row r="125" spans="5:28">
      <c r="E125" s="2"/>
      <c r="I125" s="31"/>
      <c r="J125" s="16"/>
      <c r="N125" s="6" t="str">
        <f t="shared" si="10"/>
        <v/>
      </c>
      <c r="O125" s="4" t="str">
        <f t="shared" si="11"/>
        <v/>
      </c>
      <c r="P125" s="4" t="str">
        <f t="shared" si="12"/>
        <v/>
      </c>
      <c r="Q125" t="str">
        <f t="shared" si="13"/>
        <v/>
      </c>
      <c r="R125" t="str">
        <f t="shared" si="14"/>
        <v/>
      </c>
      <c r="S125" s="1" t="str">
        <f t="shared" si="15"/>
        <v>weekly</v>
      </c>
      <c r="T125" s="4" t="str">
        <f t="shared" si="16"/>
        <v/>
      </c>
      <c r="U125" s="10" t="str">
        <f t="shared" si="17"/>
        <v/>
      </c>
      <c r="V125" s="10" t="str">
        <f t="shared" si="18"/>
        <v/>
      </c>
      <c r="W125" s="33" t="str">
        <f t="shared" si="19"/>
        <v/>
      </c>
    </row>
    <row r="126" spans="5:28">
      <c r="E126" s="2"/>
      <c r="I126" s="31"/>
      <c r="J126" s="16"/>
      <c r="N126" s="6" t="str">
        <f t="shared" si="10"/>
        <v/>
      </c>
      <c r="O126" s="4" t="str">
        <f t="shared" si="11"/>
        <v/>
      </c>
      <c r="P126" s="4" t="str">
        <f t="shared" si="12"/>
        <v/>
      </c>
      <c r="Q126" t="str">
        <f t="shared" si="13"/>
        <v/>
      </c>
      <c r="R126" t="str">
        <f t="shared" si="14"/>
        <v/>
      </c>
      <c r="S126" s="1" t="str">
        <f t="shared" si="15"/>
        <v>weekly</v>
      </c>
      <c r="T126" s="4" t="str">
        <f t="shared" si="16"/>
        <v/>
      </c>
      <c r="U126" s="10" t="str">
        <f t="shared" si="17"/>
        <v/>
      </c>
      <c r="V126" s="10" t="str">
        <f t="shared" si="18"/>
        <v/>
      </c>
      <c r="W126" s="33" t="str">
        <f t="shared" si="19"/>
        <v/>
      </c>
    </row>
    <row r="127" spans="5:28">
      <c r="E127" s="2"/>
      <c r="I127" s="31"/>
      <c r="J127" s="16"/>
      <c r="N127" s="6" t="str">
        <f t="shared" si="10"/>
        <v/>
      </c>
      <c r="O127" s="4" t="str">
        <f t="shared" si="11"/>
        <v/>
      </c>
      <c r="P127" s="4" t="str">
        <f t="shared" si="12"/>
        <v/>
      </c>
      <c r="Q127" t="str">
        <f t="shared" si="13"/>
        <v/>
      </c>
      <c r="R127" t="str">
        <f t="shared" si="14"/>
        <v/>
      </c>
      <c r="S127" s="1" t="str">
        <f t="shared" si="15"/>
        <v>weekly</v>
      </c>
      <c r="T127" s="4" t="str">
        <f t="shared" si="16"/>
        <v/>
      </c>
      <c r="U127" s="10" t="str">
        <f t="shared" si="17"/>
        <v/>
      </c>
      <c r="V127" s="10" t="str">
        <f t="shared" si="18"/>
        <v/>
      </c>
      <c r="W127" s="33" t="str">
        <f t="shared" si="19"/>
        <v/>
      </c>
    </row>
    <row r="128" spans="5:28">
      <c r="E128" s="2"/>
      <c r="I128" s="31"/>
      <c r="J128" s="16"/>
      <c r="N128" s="6" t="str">
        <f t="shared" si="10"/>
        <v/>
      </c>
      <c r="O128" s="4" t="str">
        <f t="shared" si="11"/>
        <v/>
      </c>
      <c r="P128" s="4" t="str">
        <f t="shared" si="12"/>
        <v/>
      </c>
      <c r="Q128" t="str">
        <f t="shared" si="13"/>
        <v/>
      </c>
      <c r="R128" t="str">
        <f t="shared" si="14"/>
        <v/>
      </c>
      <c r="S128" s="1" t="str">
        <f t="shared" si="15"/>
        <v>weekly</v>
      </c>
      <c r="T128" s="4" t="str">
        <f t="shared" si="16"/>
        <v/>
      </c>
      <c r="U128" s="10" t="str">
        <f t="shared" si="17"/>
        <v/>
      </c>
      <c r="V128" s="10" t="str">
        <f t="shared" si="18"/>
        <v/>
      </c>
      <c r="W128" s="33" t="str">
        <f t="shared" si="19"/>
        <v/>
      </c>
    </row>
    <row r="129" spans="5:23">
      <c r="E129" s="2"/>
      <c r="I129" s="31"/>
      <c r="J129" s="16"/>
      <c r="N129" s="6" t="str">
        <f t="shared" si="10"/>
        <v/>
      </c>
      <c r="O129" s="4" t="str">
        <f t="shared" si="11"/>
        <v/>
      </c>
      <c r="P129" s="4" t="str">
        <f t="shared" si="12"/>
        <v/>
      </c>
      <c r="Q129" t="str">
        <f t="shared" si="13"/>
        <v/>
      </c>
      <c r="R129" t="str">
        <f t="shared" si="14"/>
        <v/>
      </c>
      <c r="S129" s="1" t="str">
        <f t="shared" si="15"/>
        <v>weekly</v>
      </c>
      <c r="T129" s="4" t="str">
        <f t="shared" si="16"/>
        <v/>
      </c>
      <c r="U129" s="10" t="str">
        <f t="shared" si="17"/>
        <v/>
      </c>
      <c r="V129" s="10" t="str">
        <f t="shared" si="18"/>
        <v/>
      </c>
      <c r="W129" s="33" t="str">
        <f t="shared" si="19"/>
        <v/>
      </c>
    </row>
    <row r="130" spans="5:23">
      <c r="E130" s="2"/>
      <c r="I130" s="31"/>
      <c r="J130" s="16"/>
      <c r="N130" s="6" t="str">
        <f t="shared" ref="N130:N193" si="20">IF(D130="","",TIMEVALUE(D130))</f>
        <v/>
      </c>
      <c r="O130" s="4" t="str">
        <f t="shared" ref="O130:O193" si="21">IF(D130="","",HOUR(D130)*60 + MINUTE(D130) + SECOND(D130)/60)</f>
        <v/>
      </c>
      <c r="P130" s="4" t="str">
        <f t="shared" ref="P130:P193" si="22">IF(O130="","",O130/E130)</f>
        <v/>
      </c>
      <c r="Q130" t="str">
        <f t="shared" ref="Q130:Q193" si="23">IF(O130="", "", IF(MOD(P130,1)*60&gt;=59.5, TEXT(INT(P130)+1, "0") &amp; ":00", TEXT(INT(P130), "0") &amp; ":" &amp; TEXT(ROUND(MOD(P130,1)*60, 0), "00")))</f>
        <v/>
      </c>
      <c r="R130" t="str">
        <f t="shared" ref="R130:R193" si="24">IF(A130&lt;&gt;"",A130,"")</f>
        <v/>
      </c>
      <c r="S130" s="1" t="str">
        <f t="shared" ref="S130:S193" si="25">IFERROR(IF(ISBLANK(C130), S129,INDEX($C$2:$C$365, MATCH(R130,$R$2:$R$365, 0)) - WEEKDAY(INDEX($C$2:$C$365, MATCH(R130,$R$2:$R$365, 0)), 2) + 1), "")</f>
        <v>weekly</v>
      </c>
      <c r="T130" s="4" t="str">
        <f t="shared" ref="T130:T193" si="26">IF(S130="","",IF(S130=S129, "", SUMIFS(E:E,S:S, S130)))</f>
        <v/>
      </c>
      <c r="U130" s="10" t="str">
        <f t="shared" ref="U130:U193" si="27">IF(S130="","",IF(S130=S129, "", SUMIFS(N:N,S:S, S130)))</f>
        <v/>
      </c>
      <c r="V130" s="10" t="str">
        <f t="shared" ref="V130:V193" si="28">IF(S130="","",IF(S130=S129, "", AVERAGEIF(S:S,S130,J:J)))</f>
        <v/>
      </c>
      <c r="W130" s="33" t="str">
        <f t="shared" ref="W130:W193" si="29">IF(S130="","",IF(S130=S129, "", AVERAGEIF(S:S,S130,K:K)))</f>
        <v/>
      </c>
    </row>
    <row r="131" spans="5:23">
      <c r="E131" s="2"/>
      <c r="I131" s="31"/>
      <c r="J131" s="16"/>
      <c r="N131" s="6" t="str">
        <f t="shared" si="20"/>
        <v/>
      </c>
      <c r="O131" s="4" t="str">
        <f t="shared" si="21"/>
        <v/>
      </c>
      <c r="P131" s="4" t="str">
        <f t="shared" si="22"/>
        <v/>
      </c>
      <c r="Q131" t="str">
        <f t="shared" si="23"/>
        <v/>
      </c>
      <c r="R131" t="str">
        <f t="shared" si="24"/>
        <v/>
      </c>
      <c r="S131" s="1" t="str">
        <f t="shared" si="25"/>
        <v>weekly</v>
      </c>
      <c r="T131" s="4" t="str">
        <f t="shared" si="26"/>
        <v/>
      </c>
      <c r="U131" s="10" t="str">
        <f t="shared" si="27"/>
        <v/>
      </c>
      <c r="V131" s="10" t="str">
        <f t="shared" si="28"/>
        <v/>
      </c>
      <c r="W131" s="33" t="str">
        <f t="shared" si="29"/>
        <v/>
      </c>
    </row>
    <row r="132" spans="5:23">
      <c r="E132" s="2"/>
      <c r="I132" s="31"/>
      <c r="J132" s="16"/>
      <c r="N132" s="6" t="str">
        <f t="shared" si="20"/>
        <v/>
      </c>
      <c r="O132" s="4" t="str">
        <f t="shared" si="21"/>
        <v/>
      </c>
      <c r="P132" s="4" t="str">
        <f t="shared" si="22"/>
        <v/>
      </c>
      <c r="Q132" t="str">
        <f t="shared" si="23"/>
        <v/>
      </c>
      <c r="R132" t="str">
        <f t="shared" si="24"/>
        <v/>
      </c>
      <c r="S132" s="1" t="str">
        <f t="shared" si="25"/>
        <v>weekly</v>
      </c>
      <c r="T132" s="4" t="str">
        <f t="shared" si="26"/>
        <v/>
      </c>
      <c r="U132" s="10" t="str">
        <f t="shared" si="27"/>
        <v/>
      </c>
      <c r="V132" s="10" t="str">
        <f t="shared" si="28"/>
        <v/>
      </c>
      <c r="W132" s="33" t="str">
        <f t="shared" si="29"/>
        <v/>
      </c>
    </row>
    <row r="133" spans="5:23">
      <c r="E133" s="2"/>
      <c r="I133" s="31"/>
      <c r="J133" s="16"/>
      <c r="N133" s="6" t="str">
        <f t="shared" si="20"/>
        <v/>
      </c>
      <c r="O133" s="4" t="str">
        <f t="shared" si="21"/>
        <v/>
      </c>
      <c r="P133" s="4" t="str">
        <f t="shared" si="22"/>
        <v/>
      </c>
      <c r="Q133" t="str">
        <f t="shared" si="23"/>
        <v/>
      </c>
      <c r="R133" t="str">
        <f t="shared" si="24"/>
        <v/>
      </c>
      <c r="S133" s="1" t="str">
        <f t="shared" si="25"/>
        <v>weekly</v>
      </c>
      <c r="T133" s="4" t="str">
        <f t="shared" si="26"/>
        <v/>
      </c>
      <c r="U133" s="10" t="str">
        <f t="shared" si="27"/>
        <v/>
      </c>
      <c r="V133" s="10" t="str">
        <f t="shared" si="28"/>
        <v/>
      </c>
      <c r="W133" s="33" t="str">
        <f t="shared" si="29"/>
        <v/>
      </c>
    </row>
    <row r="134" spans="5:23">
      <c r="E134" s="2"/>
      <c r="I134" s="31"/>
      <c r="J134" s="16"/>
      <c r="N134" s="6" t="str">
        <f t="shared" si="20"/>
        <v/>
      </c>
      <c r="O134" s="4" t="str">
        <f t="shared" si="21"/>
        <v/>
      </c>
      <c r="P134" s="4" t="str">
        <f t="shared" si="22"/>
        <v/>
      </c>
      <c r="Q134" t="str">
        <f t="shared" si="23"/>
        <v/>
      </c>
      <c r="R134" t="str">
        <f t="shared" si="24"/>
        <v/>
      </c>
      <c r="S134" s="1" t="str">
        <f t="shared" si="25"/>
        <v>weekly</v>
      </c>
      <c r="T134" s="4" t="str">
        <f t="shared" si="26"/>
        <v/>
      </c>
      <c r="U134" s="10" t="str">
        <f t="shared" si="27"/>
        <v/>
      </c>
      <c r="V134" s="10" t="str">
        <f t="shared" si="28"/>
        <v/>
      </c>
      <c r="W134" s="33" t="str">
        <f t="shared" si="29"/>
        <v/>
      </c>
    </row>
    <row r="135" spans="5:23">
      <c r="E135" s="2"/>
      <c r="I135" s="31"/>
      <c r="J135" s="16"/>
      <c r="N135" s="6" t="str">
        <f t="shared" si="20"/>
        <v/>
      </c>
      <c r="O135" s="4" t="str">
        <f t="shared" si="21"/>
        <v/>
      </c>
      <c r="P135" s="4" t="str">
        <f t="shared" si="22"/>
        <v/>
      </c>
      <c r="Q135" t="str">
        <f t="shared" si="23"/>
        <v/>
      </c>
      <c r="R135" t="str">
        <f t="shared" si="24"/>
        <v/>
      </c>
      <c r="S135" s="1" t="str">
        <f t="shared" si="25"/>
        <v>weekly</v>
      </c>
      <c r="T135" s="4" t="str">
        <f t="shared" si="26"/>
        <v/>
      </c>
      <c r="U135" s="10" t="str">
        <f t="shared" si="27"/>
        <v/>
      </c>
      <c r="V135" s="10" t="str">
        <f t="shared" si="28"/>
        <v/>
      </c>
      <c r="W135" s="33" t="str">
        <f t="shared" si="29"/>
        <v/>
      </c>
    </row>
    <row r="136" spans="5:23">
      <c r="E136" s="2"/>
      <c r="I136" s="31"/>
      <c r="J136" s="16"/>
      <c r="N136" s="6" t="str">
        <f t="shared" si="20"/>
        <v/>
      </c>
      <c r="O136" s="4" t="str">
        <f t="shared" si="21"/>
        <v/>
      </c>
      <c r="P136" s="4" t="str">
        <f t="shared" si="22"/>
        <v/>
      </c>
      <c r="Q136" t="str">
        <f t="shared" si="23"/>
        <v/>
      </c>
      <c r="R136" t="str">
        <f t="shared" si="24"/>
        <v/>
      </c>
      <c r="S136" s="1" t="str">
        <f t="shared" si="25"/>
        <v>weekly</v>
      </c>
      <c r="T136" s="4" t="str">
        <f t="shared" si="26"/>
        <v/>
      </c>
      <c r="U136" s="10" t="str">
        <f t="shared" si="27"/>
        <v/>
      </c>
      <c r="V136" s="10" t="str">
        <f t="shared" si="28"/>
        <v/>
      </c>
      <c r="W136" s="33" t="str">
        <f t="shared" si="29"/>
        <v/>
      </c>
    </row>
    <row r="137" spans="5:23">
      <c r="E137" s="2"/>
      <c r="I137" s="31"/>
      <c r="J137" s="16"/>
      <c r="N137" s="6" t="str">
        <f t="shared" si="20"/>
        <v/>
      </c>
      <c r="O137" s="4" t="str">
        <f t="shared" si="21"/>
        <v/>
      </c>
      <c r="P137" s="4" t="str">
        <f t="shared" si="22"/>
        <v/>
      </c>
      <c r="Q137" t="str">
        <f t="shared" si="23"/>
        <v/>
      </c>
      <c r="R137" t="str">
        <f t="shared" si="24"/>
        <v/>
      </c>
      <c r="S137" s="1" t="str">
        <f t="shared" si="25"/>
        <v>weekly</v>
      </c>
      <c r="T137" s="4" t="str">
        <f t="shared" si="26"/>
        <v/>
      </c>
      <c r="U137" s="10" t="str">
        <f t="shared" si="27"/>
        <v/>
      </c>
      <c r="V137" s="10" t="str">
        <f t="shared" si="28"/>
        <v/>
      </c>
      <c r="W137" s="33" t="str">
        <f t="shared" si="29"/>
        <v/>
      </c>
    </row>
    <row r="138" spans="5:23">
      <c r="E138" s="2"/>
      <c r="I138" s="31"/>
      <c r="J138" s="16"/>
      <c r="N138" s="6" t="str">
        <f t="shared" si="20"/>
        <v/>
      </c>
      <c r="O138" s="4" t="str">
        <f t="shared" si="21"/>
        <v/>
      </c>
      <c r="P138" s="4" t="str">
        <f t="shared" si="22"/>
        <v/>
      </c>
      <c r="Q138" t="str">
        <f t="shared" si="23"/>
        <v/>
      </c>
      <c r="R138" t="str">
        <f t="shared" si="24"/>
        <v/>
      </c>
      <c r="S138" s="1" t="str">
        <f t="shared" si="25"/>
        <v>weekly</v>
      </c>
      <c r="T138" s="4" t="str">
        <f t="shared" si="26"/>
        <v/>
      </c>
      <c r="U138" s="10" t="str">
        <f t="shared" si="27"/>
        <v/>
      </c>
      <c r="V138" s="10" t="str">
        <f t="shared" si="28"/>
        <v/>
      </c>
      <c r="W138" s="33" t="str">
        <f t="shared" si="29"/>
        <v/>
      </c>
    </row>
    <row r="139" spans="5:23">
      <c r="E139" s="2"/>
      <c r="I139" s="31"/>
      <c r="J139" s="16"/>
      <c r="N139" s="6" t="str">
        <f t="shared" si="20"/>
        <v/>
      </c>
      <c r="O139" s="4" t="str">
        <f t="shared" si="21"/>
        <v/>
      </c>
      <c r="P139" s="4" t="str">
        <f t="shared" si="22"/>
        <v/>
      </c>
      <c r="Q139" t="str">
        <f t="shared" si="23"/>
        <v/>
      </c>
      <c r="R139" t="str">
        <f t="shared" si="24"/>
        <v/>
      </c>
      <c r="S139" s="1" t="str">
        <f t="shared" si="25"/>
        <v>weekly</v>
      </c>
      <c r="T139" s="4" t="str">
        <f t="shared" si="26"/>
        <v/>
      </c>
      <c r="U139" s="10" t="str">
        <f t="shared" si="27"/>
        <v/>
      </c>
      <c r="V139" s="10" t="str">
        <f t="shared" si="28"/>
        <v/>
      </c>
      <c r="W139" s="33" t="str">
        <f t="shared" si="29"/>
        <v/>
      </c>
    </row>
    <row r="140" spans="5:23">
      <c r="E140" s="2"/>
      <c r="I140" s="31"/>
      <c r="J140" s="16"/>
      <c r="N140" s="6" t="str">
        <f t="shared" si="20"/>
        <v/>
      </c>
      <c r="O140" s="4" t="str">
        <f t="shared" si="21"/>
        <v/>
      </c>
      <c r="P140" s="4" t="str">
        <f t="shared" si="22"/>
        <v/>
      </c>
      <c r="Q140" t="str">
        <f t="shared" si="23"/>
        <v/>
      </c>
      <c r="R140" t="str">
        <f t="shared" si="24"/>
        <v/>
      </c>
      <c r="S140" s="1" t="str">
        <f t="shared" si="25"/>
        <v>weekly</v>
      </c>
      <c r="T140" s="4" t="str">
        <f t="shared" si="26"/>
        <v/>
      </c>
      <c r="U140" s="10" t="str">
        <f t="shared" si="27"/>
        <v/>
      </c>
      <c r="V140" s="10" t="str">
        <f t="shared" si="28"/>
        <v/>
      </c>
      <c r="W140" s="33" t="str">
        <f t="shared" si="29"/>
        <v/>
      </c>
    </row>
    <row r="141" spans="5:23">
      <c r="E141" s="2"/>
      <c r="I141" s="31"/>
      <c r="J141" s="16"/>
      <c r="N141" s="6" t="str">
        <f t="shared" si="20"/>
        <v/>
      </c>
      <c r="O141" s="4" t="str">
        <f t="shared" si="21"/>
        <v/>
      </c>
      <c r="P141" s="4" t="str">
        <f t="shared" si="22"/>
        <v/>
      </c>
      <c r="Q141" t="str">
        <f t="shared" si="23"/>
        <v/>
      </c>
      <c r="R141" t="str">
        <f t="shared" si="24"/>
        <v/>
      </c>
      <c r="S141" s="1" t="str">
        <f t="shared" si="25"/>
        <v>weekly</v>
      </c>
      <c r="T141" s="4" t="str">
        <f t="shared" si="26"/>
        <v/>
      </c>
      <c r="U141" s="10" t="str">
        <f t="shared" si="27"/>
        <v/>
      </c>
      <c r="V141" s="10" t="str">
        <f t="shared" si="28"/>
        <v/>
      </c>
      <c r="W141" s="33" t="str">
        <f t="shared" si="29"/>
        <v/>
      </c>
    </row>
    <row r="142" spans="5:23">
      <c r="E142" s="2"/>
      <c r="I142" s="31"/>
      <c r="J142" s="16"/>
      <c r="N142" s="6" t="str">
        <f t="shared" si="20"/>
        <v/>
      </c>
      <c r="O142" s="4" t="str">
        <f t="shared" si="21"/>
        <v/>
      </c>
      <c r="P142" s="4" t="str">
        <f t="shared" si="22"/>
        <v/>
      </c>
      <c r="Q142" t="str">
        <f t="shared" si="23"/>
        <v/>
      </c>
      <c r="R142" t="str">
        <f t="shared" si="24"/>
        <v/>
      </c>
      <c r="S142" s="1" t="str">
        <f t="shared" si="25"/>
        <v>weekly</v>
      </c>
      <c r="T142" s="4" t="str">
        <f t="shared" si="26"/>
        <v/>
      </c>
      <c r="U142" s="10" t="str">
        <f t="shared" si="27"/>
        <v/>
      </c>
      <c r="V142" s="10" t="str">
        <f t="shared" si="28"/>
        <v/>
      </c>
      <c r="W142" s="33" t="str">
        <f t="shared" si="29"/>
        <v/>
      </c>
    </row>
    <row r="143" spans="5:23">
      <c r="E143" s="2"/>
      <c r="I143" s="31"/>
      <c r="J143" s="16"/>
      <c r="N143" s="6" t="str">
        <f t="shared" si="20"/>
        <v/>
      </c>
      <c r="O143" s="4" t="str">
        <f t="shared" si="21"/>
        <v/>
      </c>
      <c r="P143" s="4" t="str">
        <f t="shared" si="22"/>
        <v/>
      </c>
      <c r="Q143" t="str">
        <f t="shared" si="23"/>
        <v/>
      </c>
      <c r="R143" t="str">
        <f t="shared" si="24"/>
        <v/>
      </c>
      <c r="S143" s="1" t="str">
        <f t="shared" si="25"/>
        <v>weekly</v>
      </c>
      <c r="T143" s="4" t="str">
        <f t="shared" si="26"/>
        <v/>
      </c>
      <c r="U143" s="10" t="str">
        <f t="shared" si="27"/>
        <v/>
      </c>
      <c r="V143" s="10" t="str">
        <f t="shared" si="28"/>
        <v/>
      </c>
      <c r="W143" s="33" t="str">
        <f t="shared" si="29"/>
        <v/>
      </c>
    </row>
    <row r="144" spans="5:23">
      <c r="E144" s="2"/>
      <c r="I144" s="31"/>
      <c r="J144" s="16"/>
      <c r="N144" s="6" t="str">
        <f t="shared" si="20"/>
        <v/>
      </c>
      <c r="O144" s="4" t="str">
        <f t="shared" si="21"/>
        <v/>
      </c>
      <c r="P144" s="4" t="str">
        <f t="shared" si="22"/>
        <v/>
      </c>
      <c r="Q144" t="str">
        <f t="shared" si="23"/>
        <v/>
      </c>
      <c r="R144" t="str">
        <f t="shared" si="24"/>
        <v/>
      </c>
      <c r="S144" s="1" t="str">
        <f t="shared" si="25"/>
        <v>weekly</v>
      </c>
      <c r="T144" s="4" t="str">
        <f t="shared" si="26"/>
        <v/>
      </c>
      <c r="U144" s="10" t="str">
        <f t="shared" si="27"/>
        <v/>
      </c>
      <c r="V144" s="10" t="str">
        <f t="shared" si="28"/>
        <v/>
      </c>
      <c r="W144" s="33" t="str">
        <f t="shared" si="29"/>
        <v/>
      </c>
    </row>
    <row r="145" spans="3:23">
      <c r="E145" s="2"/>
      <c r="I145" s="31"/>
      <c r="J145" s="16"/>
      <c r="N145" s="6" t="str">
        <f t="shared" si="20"/>
        <v/>
      </c>
      <c r="O145" s="4" t="str">
        <f t="shared" si="21"/>
        <v/>
      </c>
      <c r="P145" s="4" t="str">
        <f t="shared" si="22"/>
        <v/>
      </c>
      <c r="Q145" t="str">
        <f t="shared" si="23"/>
        <v/>
      </c>
      <c r="R145" t="str">
        <f t="shared" si="24"/>
        <v/>
      </c>
      <c r="S145" s="1" t="str">
        <f t="shared" si="25"/>
        <v>weekly</v>
      </c>
      <c r="T145" s="4" t="str">
        <f t="shared" si="26"/>
        <v/>
      </c>
      <c r="U145" s="10" t="str">
        <f t="shared" si="27"/>
        <v/>
      </c>
      <c r="V145" s="10" t="str">
        <f t="shared" si="28"/>
        <v/>
      </c>
      <c r="W145" s="33" t="str">
        <f t="shared" si="29"/>
        <v/>
      </c>
    </row>
    <row r="146" spans="3:23">
      <c r="E146" s="2"/>
      <c r="I146" s="31"/>
      <c r="J146" s="16"/>
      <c r="N146" s="6" t="str">
        <f t="shared" si="20"/>
        <v/>
      </c>
      <c r="O146" s="4" t="str">
        <f t="shared" si="21"/>
        <v/>
      </c>
      <c r="P146" s="4" t="str">
        <f t="shared" si="22"/>
        <v/>
      </c>
      <c r="Q146" t="str">
        <f t="shared" si="23"/>
        <v/>
      </c>
      <c r="R146" t="str">
        <f t="shared" si="24"/>
        <v/>
      </c>
      <c r="S146" s="1" t="str">
        <f t="shared" si="25"/>
        <v>weekly</v>
      </c>
      <c r="T146" s="4" t="str">
        <f t="shared" si="26"/>
        <v/>
      </c>
      <c r="U146" s="10" t="str">
        <f t="shared" si="27"/>
        <v/>
      </c>
      <c r="V146" s="10" t="str">
        <f t="shared" si="28"/>
        <v/>
      </c>
      <c r="W146" s="33" t="str">
        <f t="shared" si="29"/>
        <v/>
      </c>
    </row>
    <row r="147" spans="3:23">
      <c r="E147" s="2"/>
      <c r="I147" s="31"/>
      <c r="J147" s="16"/>
      <c r="N147" s="6" t="str">
        <f t="shared" si="20"/>
        <v/>
      </c>
      <c r="O147" s="4" t="str">
        <f t="shared" si="21"/>
        <v/>
      </c>
      <c r="P147" s="4" t="str">
        <f t="shared" si="22"/>
        <v/>
      </c>
      <c r="Q147" t="str">
        <f t="shared" si="23"/>
        <v/>
      </c>
      <c r="R147" t="str">
        <f t="shared" si="24"/>
        <v/>
      </c>
      <c r="S147" s="1" t="str">
        <f t="shared" si="25"/>
        <v>weekly</v>
      </c>
      <c r="T147" s="4" t="str">
        <f t="shared" si="26"/>
        <v/>
      </c>
      <c r="U147" s="10" t="str">
        <f t="shared" si="27"/>
        <v/>
      </c>
      <c r="V147" s="10" t="str">
        <f t="shared" si="28"/>
        <v/>
      </c>
      <c r="W147" s="33" t="str">
        <f t="shared" si="29"/>
        <v/>
      </c>
    </row>
    <row r="148" spans="3:23">
      <c r="E148" s="2"/>
      <c r="I148" s="31"/>
      <c r="J148" s="16"/>
      <c r="N148" s="6" t="str">
        <f t="shared" si="20"/>
        <v/>
      </c>
      <c r="O148" s="4" t="str">
        <f t="shared" si="21"/>
        <v/>
      </c>
      <c r="P148" s="4" t="str">
        <f t="shared" si="22"/>
        <v/>
      </c>
      <c r="Q148" t="str">
        <f t="shared" si="23"/>
        <v/>
      </c>
      <c r="R148" t="str">
        <f t="shared" si="24"/>
        <v/>
      </c>
      <c r="S148" s="1" t="str">
        <f t="shared" si="25"/>
        <v>weekly</v>
      </c>
      <c r="T148" s="4" t="str">
        <f t="shared" si="26"/>
        <v/>
      </c>
      <c r="U148" s="10" t="str">
        <f t="shared" si="27"/>
        <v/>
      </c>
      <c r="V148" s="10" t="str">
        <f t="shared" si="28"/>
        <v/>
      </c>
      <c r="W148" s="33" t="str">
        <f t="shared" si="29"/>
        <v/>
      </c>
    </row>
    <row r="149" spans="3:23">
      <c r="E149" s="2"/>
      <c r="I149" s="31"/>
      <c r="J149" s="16"/>
      <c r="N149" s="6" t="str">
        <f t="shared" si="20"/>
        <v/>
      </c>
      <c r="O149" s="4" t="str">
        <f t="shared" si="21"/>
        <v/>
      </c>
      <c r="P149" s="4" t="str">
        <f t="shared" si="22"/>
        <v/>
      </c>
      <c r="Q149" t="str">
        <f t="shared" si="23"/>
        <v/>
      </c>
      <c r="R149" t="str">
        <f t="shared" si="24"/>
        <v/>
      </c>
      <c r="S149" s="1" t="str">
        <f t="shared" si="25"/>
        <v>weekly</v>
      </c>
      <c r="T149" s="4" t="str">
        <f t="shared" si="26"/>
        <v/>
      </c>
      <c r="U149" s="10" t="str">
        <f t="shared" si="27"/>
        <v/>
      </c>
      <c r="V149" s="10" t="str">
        <f t="shared" si="28"/>
        <v/>
      </c>
      <c r="W149" s="33" t="str">
        <f t="shared" si="29"/>
        <v/>
      </c>
    </row>
    <row r="150" spans="3:23">
      <c r="E150" s="2"/>
      <c r="I150" s="31"/>
      <c r="J150" s="16"/>
      <c r="N150" s="6" t="str">
        <f t="shared" si="20"/>
        <v/>
      </c>
      <c r="O150" s="4" t="str">
        <f t="shared" si="21"/>
        <v/>
      </c>
      <c r="P150" s="4" t="str">
        <f t="shared" si="22"/>
        <v/>
      </c>
      <c r="Q150" t="str">
        <f t="shared" si="23"/>
        <v/>
      </c>
      <c r="R150" t="str">
        <f t="shared" si="24"/>
        <v/>
      </c>
      <c r="S150" s="1" t="str">
        <f t="shared" si="25"/>
        <v>weekly</v>
      </c>
      <c r="T150" s="4" t="str">
        <f t="shared" si="26"/>
        <v/>
      </c>
      <c r="U150" s="10" t="str">
        <f t="shared" si="27"/>
        <v/>
      </c>
      <c r="V150" s="10" t="str">
        <f t="shared" si="28"/>
        <v/>
      </c>
      <c r="W150" s="33" t="str">
        <f t="shared" si="29"/>
        <v/>
      </c>
    </row>
    <row r="151" spans="3:23">
      <c r="E151" s="2"/>
      <c r="I151" s="31"/>
      <c r="J151" s="16"/>
      <c r="N151" s="6" t="str">
        <f t="shared" si="20"/>
        <v/>
      </c>
      <c r="O151" s="4" t="str">
        <f t="shared" si="21"/>
        <v/>
      </c>
      <c r="P151" s="4" t="str">
        <f t="shared" si="22"/>
        <v/>
      </c>
      <c r="Q151" t="str">
        <f t="shared" si="23"/>
        <v/>
      </c>
      <c r="R151" t="str">
        <f t="shared" si="24"/>
        <v/>
      </c>
      <c r="S151" s="1" t="str">
        <f t="shared" si="25"/>
        <v>weekly</v>
      </c>
      <c r="T151" s="4" t="str">
        <f t="shared" si="26"/>
        <v/>
      </c>
      <c r="U151" s="10" t="str">
        <f t="shared" si="27"/>
        <v/>
      </c>
      <c r="V151" s="10" t="str">
        <f t="shared" si="28"/>
        <v/>
      </c>
      <c r="W151" s="33" t="str">
        <f t="shared" si="29"/>
        <v/>
      </c>
    </row>
    <row r="152" spans="3:23">
      <c r="E152" s="2"/>
      <c r="I152" s="31"/>
      <c r="J152" s="16"/>
      <c r="N152" s="6" t="str">
        <f t="shared" si="20"/>
        <v/>
      </c>
      <c r="O152" s="4" t="str">
        <f t="shared" si="21"/>
        <v/>
      </c>
      <c r="P152" s="4" t="str">
        <f t="shared" si="22"/>
        <v/>
      </c>
      <c r="Q152" t="str">
        <f t="shared" si="23"/>
        <v/>
      </c>
      <c r="R152" t="str">
        <f t="shared" si="24"/>
        <v/>
      </c>
      <c r="S152" s="1" t="str">
        <f t="shared" si="25"/>
        <v>weekly</v>
      </c>
      <c r="T152" s="4" t="str">
        <f t="shared" si="26"/>
        <v/>
      </c>
      <c r="U152" s="10" t="str">
        <f t="shared" si="27"/>
        <v/>
      </c>
      <c r="V152" s="10" t="str">
        <f t="shared" si="28"/>
        <v/>
      </c>
      <c r="W152" s="33" t="str">
        <f t="shared" si="29"/>
        <v/>
      </c>
    </row>
    <row r="153" spans="3:23">
      <c r="E153" s="2"/>
      <c r="I153" s="31"/>
      <c r="J153" s="16"/>
      <c r="N153" s="6" t="str">
        <f t="shared" si="20"/>
        <v/>
      </c>
      <c r="O153" s="4" t="str">
        <f t="shared" si="21"/>
        <v/>
      </c>
      <c r="P153" s="4" t="str">
        <f t="shared" si="22"/>
        <v/>
      </c>
      <c r="Q153" t="str">
        <f t="shared" si="23"/>
        <v/>
      </c>
      <c r="R153" t="str">
        <f t="shared" si="24"/>
        <v/>
      </c>
      <c r="S153" s="1" t="str">
        <f t="shared" si="25"/>
        <v>weekly</v>
      </c>
      <c r="T153" s="4" t="str">
        <f t="shared" si="26"/>
        <v/>
      </c>
      <c r="U153" s="10" t="str">
        <f t="shared" si="27"/>
        <v/>
      </c>
      <c r="V153" s="10" t="str">
        <f t="shared" si="28"/>
        <v/>
      </c>
      <c r="W153" s="33" t="str">
        <f t="shared" si="29"/>
        <v/>
      </c>
    </row>
    <row r="154" spans="3:23">
      <c r="C154" s="44"/>
      <c r="D154" s="41"/>
      <c r="E154" s="45"/>
      <c r="F154" s="42"/>
      <c r="G154" s="42"/>
      <c r="H154" s="46"/>
      <c r="I154" s="43"/>
      <c r="J154" s="38"/>
      <c r="K154" s="22"/>
      <c r="L154" s="22"/>
      <c r="M154" s="23"/>
      <c r="N154" s="6" t="str">
        <f t="shared" si="20"/>
        <v/>
      </c>
      <c r="O154" s="4" t="str">
        <f t="shared" si="21"/>
        <v/>
      </c>
      <c r="P154" s="4" t="str">
        <f t="shared" si="22"/>
        <v/>
      </c>
      <c r="Q154" t="str">
        <f t="shared" si="23"/>
        <v/>
      </c>
      <c r="R154" t="str">
        <f t="shared" si="24"/>
        <v/>
      </c>
      <c r="S154" s="1" t="str">
        <f t="shared" si="25"/>
        <v>weekly</v>
      </c>
      <c r="T154" s="4" t="str">
        <f t="shared" si="26"/>
        <v/>
      </c>
      <c r="U154" s="10" t="str">
        <f t="shared" si="27"/>
        <v/>
      </c>
      <c r="V154" s="10" t="str">
        <f t="shared" si="28"/>
        <v/>
      </c>
      <c r="W154" s="33" t="str">
        <f t="shared" si="29"/>
        <v/>
      </c>
    </row>
    <row r="155" spans="3:23">
      <c r="E155" s="2"/>
      <c r="I155" s="31"/>
      <c r="J155" s="16"/>
      <c r="N155" s="6" t="str">
        <f t="shared" si="20"/>
        <v/>
      </c>
      <c r="O155" s="4" t="str">
        <f t="shared" si="21"/>
        <v/>
      </c>
      <c r="P155" s="4" t="str">
        <f t="shared" si="22"/>
        <v/>
      </c>
      <c r="Q155" t="str">
        <f t="shared" si="23"/>
        <v/>
      </c>
      <c r="R155" t="str">
        <f t="shared" si="24"/>
        <v/>
      </c>
      <c r="S155" s="1" t="str">
        <f t="shared" si="25"/>
        <v>weekly</v>
      </c>
      <c r="T155" s="4" t="str">
        <f t="shared" si="26"/>
        <v/>
      </c>
      <c r="U155" s="10" t="str">
        <f t="shared" si="27"/>
        <v/>
      </c>
      <c r="V155" s="10" t="str">
        <f t="shared" si="28"/>
        <v/>
      </c>
      <c r="W155" s="33" t="str">
        <f t="shared" si="29"/>
        <v/>
      </c>
    </row>
    <row r="156" spans="3:23">
      <c r="E156" s="2"/>
      <c r="I156" s="31"/>
      <c r="J156" s="16"/>
      <c r="N156" s="6" t="str">
        <f t="shared" si="20"/>
        <v/>
      </c>
      <c r="O156" s="4" t="str">
        <f t="shared" si="21"/>
        <v/>
      </c>
      <c r="P156" s="4" t="str">
        <f t="shared" si="22"/>
        <v/>
      </c>
      <c r="Q156" t="str">
        <f t="shared" si="23"/>
        <v/>
      </c>
      <c r="R156" t="str">
        <f t="shared" si="24"/>
        <v/>
      </c>
      <c r="S156" s="1" t="str">
        <f t="shared" si="25"/>
        <v>weekly</v>
      </c>
      <c r="T156" s="4" t="str">
        <f t="shared" si="26"/>
        <v/>
      </c>
      <c r="U156" s="10" t="str">
        <f t="shared" si="27"/>
        <v/>
      </c>
      <c r="V156" s="10" t="str">
        <f t="shared" si="28"/>
        <v/>
      </c>
      <c r="W156" s="33" t="str">
        <f t="shared" si="29"/>
        <v/>
      </c>
    </row>
    <row r="157" spans="3:23">
      <c r="E157" s="2"/>
      <c r="I157" s="31"/>
      <c r="J157" s="16"/>
      <c r="N157" s="6" t="str">
        <f t="shared" si="20"/>
        <v/>
      </c>
      <c r="O157" s="4" t="str">
        <f t="shared" si="21"/>
        <v/>
      </c>
      <c r="P157" s="4" t="str">
        <f t="shared" si="22"/>
        <v/>
      </c>
      <c r="Q157" t="str">
        <f t="shared" si="23"/>
        <v/>
      </c>
      <c r="R157" t="str">
        <f t="shared" si="24"/>
        <v/>
      </c>
      <c r="S157" s="1" t="str">
        <f t="shared" si="25"/>
        <v>weekly</v>
      </c>
      <c r="T157" s="4" t="str">
        <f t="shared" si="26"/>
        <v/>
      </c>
      <c r="U157" s="10" t="str">
        <f t="shared" si="27"/>
        <v/>
      </c>
      <c r="V157" s="10" t="str">
        <f t="shared" si="28"/>
        <v/>
      </c>
      <c r="W157" s="33" t="str">
        <f t="shared" si="29"/>
        <v/>
      </c>
    </row>
    <row r="158" spans="3:23">
      <c r="E158" s="2"/>
      <c r="I158" s="31"/>
      <c r="J158" s="16"/>
      <c r="N158" s="6" t="str">
        <f t="shared" si="20"/>
        <v/>
      </c>
      <c r="O158" s="4" t="str">
        <f t="shared" si="21"/>
        <v/>
      </c>
      <c r="P158" s="4" t="str">
        <f t="shared" si="22"/>
        <v/>
      </c>
      <c r="Q158" t="str">
        <f t="shared" si="23"/>
        <v/>
      </c>
      <c r="R158" t="str">
        <f t="shared" si="24"/>
        <v/>
      </c>
      <c r="S158" s="1" t="str">
        <f t="shared" si="25"/>
        <v>weekly</v>
      </c>
      <c r="T158" s="4" t="str">
        <f t="shared" si="26"/>
        <v/>
      </c>
      <c r="U158" s="10" t="str">
        <f t="shared" si="27"/>
        <v/>
      </c>
      <c r="V158" s="10" t="str">
        <f t="shared" si="28"/>
        <v/>
      </c>
      <c r="W158" s="33" t="str">
        <f t="shared" si="29"/>
        <v/>
      </c>
    </row>
    <row r="159" spans="3:23">
      <c r="E159" s="2"/>
      <c r="I159" s="31"/>
      <c r="J159" s="16"/>
      <c r="N159" s="6" t="str">
        <f t="shared" si="20"/>
        <v/>
      </c>
      <c r="O159" s="4" t="str">
        <f t="shared" si="21"/>
        <v/>
      </c>
      <c r="P159" s="4" t="str">
        <f t="shared" si="22"/>
        <v/>
      </c>
      <c r="Q159" t="str">
        <f t="shared" si="23"/>
        <v/>
      </c>
      <c r="R159" t="str">
        <f t="shared" si="24"/>
        <v/>
      </c>
      <c r="S159" s="1" t="str">
        <f t="shared" si="25"/>
        <v>weekly</v>
      </c>
      <c r="T159" s="4" t="str">
        <f t="shared" si="26"/>
        <v/>
      </c>
      <c r="U159" s="10" t="str">
        <f t="shared" si="27"/>
        <v/>
      </c>
      <c r="V159" s="10" t="str">
        <f t="shared" si="28"/>
        <v/>
      </c>
      <c r="W159" s="33" t="str">
        <f t="shared" si="29"/>
        <v/>
      </c>
    </row>
    <row r="160" spans="3:23">
      <c r="E160" s="2"/>
      <c r="I160" s="31"/>
      <c r="J160" s="16"/>
      <c r="N160" s="6" t="str">
        <f t="shared" si="20"/>
        <v/>
      </c>
      <c r="O160" s="4" t="str">
        <f t="shared" si="21"/>
        <v/>
      </c>
      <c r="P160" s="4" t="str">
        <f t="shared" si="22"/>
        <v/>
      </c>
      <c r="Q160" t="str">
        <f t="shared" si="23"/>
        <v/>
      </c>
      <c r="R160" t="str">
        <f t="shared" si="24"/>
        <v/>
      </c>
      <c r="S160" s="1" t="str">
        <f t="shared" si="25"/>
        <v>weekly</v>
      </c>
      <c r="T160" s="4" t="str">
        <f t="shared" si="26"/>
        <v/>
      </c>
      <c r="U160" s="10" t="str">
        <f t="shared" si="27"/>
        <v/>
      </c>
      <c r="V160" s="10" t="str">
        <f t="shared" si="28"/>
        <v/>
      </c>
      <c r="W160" s="33" t="str">
        <f t="shared" si="29"/>
        <v/>
      </c>
    </row>
    <row r="161" spans="5:23">
      <c r="E161" s="2"/>
      <c r="I161" s="31"/>
      <c r="J161" s="16"/>
      <c r="N161" s="6" t="str">
        <f t="shared" si="20"/>
        <v/>
      </c>
      <c r="O161" s="4" t="str">
        <f t="shared" si="21"/>
        <v/>
      </c>
      <c r="P161" s="4" t="str">
        <f t="shared" si="22"/>
        <v/>
      </c>
      <c r="Q161" t="str">
        <f t="shared" si="23"/>
        <v/>
      </c>
      <c r="R161" t="str">
        <f t="shared" si="24"/>
        <v/>
      </c>
      <c r="S161" s="1" t="str">
        <f t="shared" si="25"/>
        <v>weekly</v>
      </c>
      <c r="T161" s="4" t="str">
        <f t="shared" si="26"/>
        <v/>
      </c>
      <c r="U161" s="10" t="str">
        <f t="shared" si="27"/>
        <v/>
      </c>
      <c r="V161" s="10" t="str">
        <f t="shared" si="28"/>
        <v/>
      </c>
      <c r="W161" s="33" t="str">
        <f t="shared" si="29"/>
        <v/>
      </c>
    </row>
    <row r="162" spans="5:23">
      <c r="E162" s="2"/>
      <c r="I162" s="31"/>
      <c r="J162" s="16"/>
      <c r="N162" s="6" t="str">
        <f t="shared" si="20"/>
        <v/>
      </c>
      <c r="O162" s="4" t="str">
        <f t="shared" si="21"/>
        <v/>
      </c>
      <c r="P162" s="4" t="str">
        <f t="shared" si="22"/>
        <v/>
      </c>
      <c r="Q162" t="str">
        <f t="shared" si="23"/>
        <v/>
      </c>
      <c r="R162" t="str">
        <f t="shared" si="24"/>
        <v/>
      </c>
      <c r="S162" s="1" t="str">
        <f t="shared" si="25"/>
        <v>weekly</v>
      </c>
      <c r="T162" s="4" t="str">
        <f t="shared" si="26"/>
        <v/>
      </c>
      <c r="U162" s="10" t="str">
        <f t="shared" si="27"/>
        <v/>
      </c>
      <c r="V162" s="10" t="str">
        <f t="shared" si="28"/>
        <v/>
      </c>
      <c r="W162" s="33" t="str">
        <f t="shared" si="29"/>
        <v/>
      </c>
    </row>
    <row r="163" spans="5:23">
      <c r="E163" s="2"/>
      <c r="I163" s="31"/>
      <c r="J163" s="16"/>
      <c r="N163" s="6" t="str">
        <f t="shared" si="20"/>
        <v/>
      </c>
      <c r="O163" s="4" t="str">
        <f t="shared" si="21"/>
        <v/>
      </c>
      <c r="P163" s="4" t="str">
        <f t="shared" si="22"/>
        <v/>
      </c>
      <c r="Q163" t="str">
        <f t="shared" si="23"/>
        <v/>
      </c>
      <c r="R163" t="str">
        <f t="shared" si="24"/>
        <v/>
      </c>
      <c r="S163" s="1" t="str">
        <f t="shared" si="25"/>
        <v>weekly</v>
      </c>
      <c r="T163" s="4" t="str">
        <f t="shared" si="26"/>
        <v/>
      </c>
      <c r="U163" s="10" t="str">
        <f t="shared" si="27"/>
        <v/>
      </c>
      <c r="V163" s="10" t="str">
        <f t="shared" si="28"/>
        <v/>
      </c>
      <c r="W163" s="33" t="str">
        <f t="shared" si="29"/>
        <v/>
      </c>
    </row>
    <row r="164" spans="5:23">
      <c r="E164" s="2"/>
      <c r="I164" s="31"/>
      <c r="J164" s="16"/>
      <c r="N164" s="6" t="str">
        <f t="shared" si="20"/>
        <v/>
      </c>
      <c r="O164" s="4" t="str">
        <f t="shared" si="21"/>
        <v/>
      </c>
      <c r="P164" s="4" t="str">
        <f t="shared" si="22"/>
        <v/>
      </c>
      <c r="Q164" t="str">
        <f t="shared" si="23"/>
        <v/>
      </c>
      <c r="R164" t="str">
        <f t="shared" si="24"/>
        <v/>
      </c>
      <c r="S164" s="1" t="str">
        <f t="shared" si="25"/>
        <v>weekly</v>
      </c>
      <c r="T164" s="4" t="str">
        <f t="shared" si="26"/>
        <v/>
      </c>
      <c r="U164" s="10" t="str">
        <f t="shared" si="27"/>
        <v/>
      </c>
      <c r="V164" s="10" t="str">
        <f t="shared" si="28"/>
        <v/>
      </c>
      <c r="W164" s="33" t="str">
        <f t="shared" si="29"/>
        <v/>
      </c>
    </row>
    <row r="165" spans="5:23">
      <c r="E165" s="2"/>
      <c r="I165" s="31"/>
      <c r="J165" s="16"/>
      <c r="N165" s="6" t="str">
        <f t="shared" si="20"/>
        <v/>
      </c>
      <c r="O165" s="4" t="str">
        <f t="shared" si="21"/>
        <v/>
      </c>
      <c r="P165" s="4" t="str">
        <f t="shared" si="22"/>
        <v/>
      </c>
      <c r="Q165" t="str">
        <f t="shared" si="23"/>
        <v/>
      </c>
      <c r="R165" t="str">
        <f t="shared" si="24"/>
        <v/>
      </c>
      <c r="S165" s="1" t="str">
        <f t="shared" si="25"/>
        <v>weekly</v>
      </c>
      <c r="T165" s="4" t="str">
        <f t="shared" si="26"/>
        <v/>
      </c>
      <c r="U165" s="10" t="str">
        <f t="shared" si="27"/>
        <v/>
      </c>
      <c r="V165" s="10" t="str">
        <f t="shared" si="28"/>
        <v/>
      </c>
      <c r="W165" s="33" t="str">
        <f t="shared" si="29"/>
        <v/>
      </c>
    </row>
    <row r="166" spans="5:23">
      <c r="E166" s="2"/>
      <c r="I166" s="31"/>
      <c r="J166" s="16"/>
      <c r="N166" s="6" t="str">
        <f t="shared" si="20"/>
        <v/>
      </c>
      <c r="O166" s="4" t="str">
        <f t="shared" si="21"/>
        <v/>
      </c>
      <c r="P166" s="4" t="str">
        <f t="shared" si="22"/>
        <v/>
      </c>
      <c r="Q166" t="str">
        <f t="shared" si="23"/>
        <v/>
      </c>
      <c r="R166" t="str">
        <f t="shared" si="24"/>
        <v/>
      </c>
      <c r="S166" s="1" t="str">
        <f t="shared" si="25"/>
        <v>weekly</v>
      </c>
      <c r="T166" s="4" t="str">
        <f t="shared" si="26"/>
        <v/>
      </c>
      <c r="U166" s="10" t="str">
        <f t="shared" si="27"/>
        <v/>
      </c>
      <c r="V166" s="10" t="str">
        <f t="shared" si="28"/>
        <v/>
      </c>
      <c r="W166" s="33" t="str">
        <f t="shared" si="29"/>
        <v/>
      </c>
    </row>
    <row r="167" spans="5:23">
      <c r="E167" s="2"/>
      <c r="I167" s="31"/>
      <c r="J167" s="16"/>
      <c r="N167" s="6" t="str">
        <f t="shared" si="20"/>
        <v/>
      </c>
      <c r="O167" s="4" t="str">
        <f t="shared" si="21"/>
        <v/>
      </c>
      <c r="P167" s="4" t="str">
        <f t="shared" si="22"/>
        <v/>
      </c>
      <c r="Q167" t="str">
        <f t="shared" si="23"/>
        <v/>
      </c>
      <c r="R167" t="str">
        <f t="shared" si="24"/>
        <v/>
      </c>
      <c r="S167" s="1" t="str">
        <f t="shared" si="25"/>
        <v>weekly</v>
      </c>
      <c r="T167" s="4" t="str">
        <f t="shared" si="26"/>
        <v/>
      </c>
      <c r="U167" s="10" t="str">
        <f t="shared" si="27"/>
        <v/>
      </c>
      <c r="V167" s="10" t="str">
        <f t="shared" si="28"/>
        <v/>
      </c>
      <c r="W167" s="33" t="str">
        <f t="shared" si="29"/>
        <v/>
      </c>
    </row>
    <row r="168" spans="5:23">
      <c r="E168" s="2"/>
      <c r="I168" s="31"/>
      <c r="J168" s="16"/>
      <c r="N168" s="6" t="str">
        <f t="shared" si="20"/>
        <v/>
      </c>
      <c r="O168" s="4" t="str">
        <f t="shared" si="21"/>
        <v/>
      </c>
      <c r="P168" s="4" t="str">
        <f t="shared" si="22"/>
        <v/>
      </c>
      <c r="Q168" t="str">
        <f t="shared" si="23"/>
        <v/>
      </c>
      <c r="R168" t="str">
        <f t="shared" si="24"/>
        <v/>
      </c>
      <c r="S168" s="1" t="str">
        <f t="shared" si="25"/>
        <v>weekly</v>
      </c>
      <c r="T168" s="4" t="str">
        <f t="shared" si="26"/>
        <v/>
      </c>
      <c r="U168" s="10" t="str">
        <f t="shared" si="27"/>
        <v/>
      </c>
      <c r="V168" s="10" t="str">
        <f t="shared" si="28"/>
        <v/>
      </c>
      <c r="W168" s="33" t="str">
        <f t="shared" si="29"/>
        <v/>
      </c>
    </row>
    <row r="169" spans="5:23">
      <c r="E169" s="2"/>
      <c r="I169" s="31"/>
      <c r="J169" s="16"/>
      <c r="N169" s="6" t="str">
        <f t="shared" si="20"/>
        <v/>
      </c>
      <c r="O169" s="4" t="str">
        <f t="shared" si="21"/>
        <v/>
      </c>
      <c r="P169" s="4" t="str">
        <f t="shared" si="22"/>
        <v/>
      </c>
      <c r="Q169" t="str">
        <f t="shared" si="23"/>
        <v/>
      </c>
      <c r="R169" t="str">
        <f t="shared" si="24"/>
        <v/>
      </c>
      <c r="S169" s="1" t="str">
        <f t="shared" si="25"/>
        <v>weekly</v>
      </c>
      <c r="T169" s="4" t="str">
        <f t="shared" si="26"/>
        <v/>
      </c>
      <c r="U169" s="10" t="str">
        <f t="shared" si="27"/>
        <v/>
      </c>
      <c r="V169" s="10" t="str">
        <f t="shared" si="28"/>
        <v/>
      </c>
      <c r="W169" s="33" t="str">
        <f t="shared" si="29"/>
        <v/>
      </c>
    </row>
    <row r="170" spans="5:23">
      <c r="E170" s="2"/>
      <c r="I170" s="31"/>
      <c r="J170" s="16"/>
      <c r="N170" s="6" t="str">
        <f t="shared" si="20"/>
        <v/>
      </c>
      <c r="O170" s="4" t="str">
        <f t="shared" si="21"/>
        <v/>
      </c>
      <c r="P170" s="4" t="str">
        <f t="shared" si="22"/>
        <v/>
      </c>
      <c r="Q170" t="str">
        <f t="shared" si="23"/>
        <v/>
      </c>
      <c r="R170" t="str">
        <f t="shared" si="24"/>
        <v/>
      </c>
      <c r="S170" s="1" t="str">
        <f t="shared" si="25"/>
        <v>weekly</v>
      </c>
      <c r="T170" s="4" t="str">
        <f t="shared" si="26"/>
        <v/>
      </c>
      <c r="U170" s="10" t="str">
        <f t="shared" si="27"/>
        <v/>
      </c>
      <c r="V170" s="10" t="str">
        <f t="shared" si="28"/>
        <v/>
      </c>
      <c r="W170" s="33" t="str">
        <f t="shared" si="29"/>
        <v/>
      </c>
    </row>
    <row r="171" spans="5:23">
      <c r="E171" s="2"/>
      <c r="I171" s="31"/>
      <c r="J171" s="16"/>
      <c r="N171" s="6" t="str">
        <f t="shared" si="20"/>
        <v/>
      </c>
      <c r="O171" s="4" t="str">
        <f t="shared" si="21"/>
        <v/>
      </c>
      <c r="P171" s="4" t="str">
        <f t="shared" si="22"/>
        <v/>
      </c>
      <c r="Q171" t="str">
        <f t="shared" si="23"/>
        <v/>
      </c>
      <c r="R171" t="str">
        <f t="shared" si="24"/>
        <v/>
      </c>
      <c r="S171" s="1" t="str">
        <f t="shared" si="25"/>
        <v>weekly</v>
      </c>
      <c r="T171" s="4" t="str">
        <f t="shared" si="26"/>
        <v/>
      </c>
      <c r="U171" s="10" t="str">
        <f t="shared" si="27"/>
        <v/>
      </c>
      <c r="V171" s="10" t="str">
        <f t="shared" si="28"/>
        <v/>
      </c>
      <c r="W171" s="33" t="str">
        <f t="shared" si="29"/>
        <v/>
      </c>
    </row>
    <row r="172" spans="5:23">
      <c r="E172" s="2"/>
      <c r="I172" s="31"/>
      <c r="J172" s="16"/>
      <c r="N172" s="6" t="str">
        <f t="shared" si="20"/>
        <v/>
      </c>
      <c r="O172" s="4" t="str">
        <f t="shared" si="21"/>
        <v/>
      </c>
      <c r="P172" s="4" t="str">
        <f t="shared" si="22"/>
        <v/>
      </c>
      <c r="Q172" t="str">
        <f t="shared" si="23"/>
        <v/>
      </c>
      <c r="R172" t="str">
        <f t="shared" si="24"/>
        <v/>
      </c>
      <c r="S172" s="1" t="str">
        <f t="shared" si="25"/>
        <v>weekly</v>
      </c>
      <c r="T172" s="4" t="str">
        <f t="shared" si="26"/>
        <v/>
      </c>
      <c r="U172" s="10" t="str">
        <f t="shared" si="27"/>
        <v/>
      </c>
      <c r="V172" s="10" t="str">
        <f t="shared" si="28"/>
        <v/>
      </c>
      <c r="W172" s="33" t="str">
        <f t="shared" si="29"/>
        <v/>
      </c>
    </row>
    <row r="173" spans="5:23">
      <c r="E173" s="2"/>
      <c r="I173" s="31"/>
      <c r="J173" s="16"/>
      <c r="N173" s="6" t="str">
        <f t="shared" si="20"/>
        <v/>
      </c>
      <c r="O173" s="4" t="str">
        <f t="shared" si="21"/>
        <v/>
      </c>
      <c r="P173" s="4" t="str">
        <f t="shared" si="22"/>
        <v/>
      </c>
      <c r="Q173" t="str">
        <f t="shared" si="23"/>
        <v/>
      </c>
      <c r="R173" t="str">
        <f t="shared" si="24"/>
        <v/>
      </c>
      <c r="S173" s="1" t="str">
        <f t="shared" si="25"/>
        <v>weekly</v>
      </c>
      <c r="T173" s="4" t="str">
        <f t="shared" si="26"/>
        <v/>
      </c>
      <c r="U173" s="10" t="str">
        <f t="shared" si="27"/>
        <v/>
      </c>
      <c r="V173" s="10" t="str">
        <f t="shared" si="28"/>
        <v/>
      </c>
      <c r="W173" s="33" t="str">
        <f t="shared" si="29"/>
        <v/>
      </c>
    </row>
    <row r="174" spans="5:23">
      <c r="E174" s="2"/>
      <c r="I174" s="31"/>
      <c r="J174" s="16"/>
      <c r="N174" s="6" t="str">
        <f t="shared" si="20"/>
        <v/>
      </c>
      <c r="O174" s="4" t="str">
        <f t="shared" si="21"/>
        <v/>
      </c>
      <c r="P174" s="4" t="str">
        <f t="shared" si="22"/>
        <v/>
      </c>
      <c r="Q174" t="str">
        <f t="shared" si="23"/>
        <v/>
      </c>
      <c r="R174" t="str">
        <f t="shared" si="24"/>
        <v/>
      </c>
      <c r="S174" s="1" t="str">
        <f t="shared" si="25"/>
        <v>weekly</v>
      </c>
      <c r="T174" s="4" t="str">
        <f t="shared" si="26"/>
        <v/>
      </c>
      <c r="U174" s="10" t="str">
        <f t="shared" si="27"/>
        <v/>
      </c>
      <c r="V174" s="10" t="str">
        <f t="shared" si="28"/>
        <v/>
      </c>
      <c r="W174" s="33" t="str">
        <f t="shared" si="29"/>
        <v/>
      </c>
    </row>
    <row r="175" spans="5:23">
      <c r="E175" s="2"/>
      <c r="I175" s="31"/>
      <c r="J175" s="16"/>
      <c r="M175" s="40"/>
      <c r="N175" s="6" t="str">
        <f t="shared" si="20"/>
        <v/>
      </c>
      <c r="O175" s="4" t="str">
        <f t="shared" si="21"/>
        <v/>
      </c>
      <c r="P175" s="4" t="str">
        <f t="shared" si="22"/>
        <v/>
      </c>
      <c r="Q175" t="str">
        <f t="shared" si="23"/>
        <v/>
      </c>
      <c r="R175" t="str">
        <f t="shared" si="24"/>
        <v/>
      </c>
      <c r="S175" s="1" t="str">
        <f t="shared" si="25"/>
        <v>weekly</v>
      </c>
      <c r="T175" s="4" t="str">
        <f t="shared" si="26"/>
        <v/>
      </c>
      <c r="U175" s="10" t="str">
        <f t="shared" si="27"/>
        <v/>
      </c>
      <c r="V175" s="10" t="str">
        <f t="shared" si="28"/>
        <v/>
      </c>
      <c r="W175" s="33" t="str">
        <f t="shared" si="29"/>
        <v/>
      </c>
    </row>
    <row r="176" spans="5:23">
      <c r="E176" s="2"/>
      <c r="I176" s="31"/>
      <c r="J176" s="16"/>
      <c r="N176" s="6" t="str">
        <f t="shared" si="20"/>
        <v/>
      </c>
      <c r="O176" s="4" t="str">
        <f t="shared" si="21"/>
        <v/>
      </c>
      <c r="P176" s="4" t="str">
        <f t="shared" si="22"/>
        <v/>
      </c>
      <c r="Q176" t="str">
        <f t="shared" si="23"/>
        <v/>
      </c>
      <c r="R176" t="str">
        <f t="shared" si="24"/>
        <v/>
      </c>
      <c r="S176" s="1" t="str">
        <f t="shared" si="25"/>
        <v>weekly</v>
      </c>
      <c r="T176" s="4" t="str">
        <f t="shared" si="26"/>
        <v/>
      </c>
      <c r="U176" s="10" t="str">
        <f t="shared" si="27"/>
        <v/>
      </c>
      <c r="V176" s="10" t="str">
        <f t="shared" si="28"/>
        <v/>
      </c>
      <c r="W176" s="33" t="str">
        <f t="shared" si="29"/>
        <v/>
      </c>
    </row>
    <row r="177" spans="3:23">
      <c r="E177" s="2"/>
      <c r="I177" s="31"/>
      <c r="J177" s="16"/>
      <c r="N177" s="6" t="str">
        <f t="shared" si="20"/>
        <v/>
      </c>
      <c r="O177" s="4" t="str">
        <f t="shared" si="21"/>
        <v/>
      </c>
      <c r="P177" s="4" t="str">
        <f t="shared" si="22"/>
        <v/>
      </c>
      <c r="Q177" t="str">
        <f t="shared" si="23"/>
        <v/>
      </c>
      <c r="R177" t="str">
        <f t="shared" si="24"/>
        <v/>
      </c>
      <c r="S177" s="1" t="str">
        <f t="shared" si="25"/>
        <v>weekly</v>
      </c>
      <c r="T177" s="4" t="str">
        <f t="shared" si="26"/>
        <v/>
      </c>
      <c r="U177" s="10" t="str">
        <f t="shared" si="27"/>
        <v/>
      </c>
      <c r="V177" s="10" t="str">
        <f t="shared" si="28"/>
        <v/>
      </c>
      <c r="W177" s="33" t="str">
        <f t="shared" si="29"/>
        <v/>
      </c>
    </row>
    <row r="178" spans="3:23">
      <c r="E178" s="2"/>
      <c r="I178" s="31"/>
      <c r="J178" s="16"/>
      <c r="N178" s="6" t="str">
        <f t="shared" si="20"/>
        <v/>
      </c>
      <c r="O178" s="4" t="str">
        <f t="shared" si="21"/>
        <v/>
      </c>
      <c r="P178" s="4" t="str">
        <f t="shared" si="22"/>
        <v/>
      </c>
      <c r="Q178" t="str">
        <f t="shared" si="23"/>
        <v/>
      </c>
      <c r="R178" t="str">
        <f t="shared" si="24"/>
        <v/>
      </c>
      <c r="S178" s="1" t="str">
        <f t="shared" si="25"/>
        <v>weekly</v>
      </c>
      <c r="T178" s="4" t="str">
        <f t="shared" si="26"/>
        <v/>
      </c>
      <c r="U178" s="10" t="str">
        <f t="shared" si="27"/>
        <v/>
      </c>
      <c r="V178" s="10" t="str">
        <f t="shared" si="28"/>
        <v/>
      </c>
      <c r="W178" s="33" t="str">
        <f t="shared" si="29"/>
        <v/>
      </c>
    </row>
    <row r="179" spans="3:23">
      <c r="E179" s="2"/>
      <c r="I179" s="31"/>
      <c r="J179" s="16"/>
      <c r="N179" s="6" t="str">
        <f t="shared" si="20"/>
        <v/>
      </c>
      <c r="O179" s="4" t="str">
        <f t="shared" si="21"/>
        <v/>
      </c>
      <c r="P179" s="4" t="str">
        <f t="shared" si="22"/>
        <v/>
      </c>
      <c r="Q179" t="str">
        <f t="shared" si="23"/>
        <v/>
      </c>
      <c r="R179" t="str">
        <f t="shared" si="24"/>
        <v/>
      </c>
      <c r="S179" s="1" t="str">
        <f t="shared" si="25"/>
        <v>weekly</v>
      </c>
      <c r="T179" s="4" t="str">
        <f t="shared" si="26"/>
        <v/>
      </c>
      <c r="U179" s="10" t="str">
        <f t="shared" si="27"/>
        <v/>
      </c>
      <c r="V179" s="10" t="str">
        <f t="shared" si="28"/>
        <v/>
      </c>
      <c r="W179" s="33" t="str">
        <f t="shared" si="29"/>
        <v/>
      </c>
    </row>
    <row r="180" spans="3:23">
      <c r="E180" s="2"/>
      <c r="I180" s="31"/>
      <c r="J180" s="16"/>
      <c r="N180" s="6" t="str">
        <f t="shared" si="20"/>
        <v/>
      </c>
      <c r="O180" s="4" t="str">
        <f t="shared" si="21"/>
        <v/>
      </c>
      <c r="P180" s="4" t="str">
        <f t="shared" si="22"/>
        <v/>
      </c>
      <c r="Q180" t="str">
        <f t="shared" si="23"/>
        <v/>
      </c>
      <c r="R180" t="str">
        <f t="shared" si="24"/>
        <v/>
      </c>
      <c r="S180" s="1" t="str">
        <f t="shared" si="25"/>
        <v>weekly</v>
      </c>
      <c r="T180" s="4" t="str">
        <f t="shared" si="26"/>
        <v/>
      </c>
      <c r="U180" s="10" t="str">
        <f t="shared" si="27"/>
        <v/>
      </c>
      <c r="V180" s="10" t="str">
        <f t="shared" si="28"/>
        <v/>
      </c>
      <c r="W180" s="33" t="str">
        <f t="shared" si="29"/>
        <v/>
      </c>
    </row>
    <row r="181" spans="3:23">
      <c r="E181" s="2"/>
      <c r="I181" s="31"/>
      <c r="J181" s="16"/>
      <c r="N181" s="6" t="str">
        <f t="shared" si="20"/>
        <v/>
      </c>
      <c r="O181" s="4" t="str">
        <f t="shared" si="21"/>
        <v/>
      </c>
      <c r="P181" s="4" t="str">
        <f t="shared" si="22"/>
        <v/>
      </c>
      <c r="Q181" t="str">
        <f t="shared" si="23"/>
        <v/>
      </c>
      <c r="R181" t="str">
        <f t="shared" si="24"/>
        <v/>
      </c>
      <c r="S181" s="1" t="str">
        <f t="shared" si="25"/>
        <v>weekly</v>
      </c>
      <c r="T181" s="4" t="str">
        <f t="shared" si="26"/>
        <v/>
      </c>
      <c r="U181" s="10" t="str">
        <f t="shared" si="27"/>
        <v/>
      </c>
      <c r="V181" s="10" t="str">
        <f t="shared" si="28"/>
        <v/>
      </c>
      <c r="W181" s="33" t="str">
        <f t="shared" si="29"/>
        <v/>
      </c>
    </row>
    <row r="182" spans="3:23">
      <c r="E182" s="2"/>
      <c r="I182" s="31"/>
      <c r="J182" s="16"/>
      <c r="N182" s="6" t="str">
        <f t="shared" si="20"/>
        <v/>
      </c>
      <c r="O182" s="4" t="str">
        <f t="shared" si="21"/>
        <v/>
      </c>
      <c r="P182" s="4" t="str">
        <f t="shared" si="22"/>
        <v/>
      </c>
      <c r="Q182" t="str">
        <f t="shared" si="23"/>
        <v/>
      </c>
      <c r="R182" t="str">
        <f t="shared" si="24"/>
        <v/>
      </c>
      <c r="S182" s="1" t="str">
        <f t="shared" si="25"/>
        <v>weekly</v>
      </c>
      <c r="T182" s="4" t="str">
        <f t="shared" si="26"/>
        <v/>
      </c>
      <c r="U182" s="10" t="str">
        <f t="shared" si="27"/>
        <v/>
      </c>
      <c r="V182" s="10" t="str">
        <f t="shared" si="28"/>
        <v/>
      </c>
      <c r="W182" s="33" t="str">
        <f t="shared" si="29"/>
        <v/>
      </c>
    </row>
    <row r="183" spans="3:23">
      <c r="E183" s="2"/>
      <c r="I183" s="31"/>
      <c r="J183" s="16"/>
      <c r="N183" s="6" t="str">
        <f t="shared" si="20"/>
        <v/>
      </c>
      <c r="O183" s="4" t="str">
        <f t="shared" si="21"/>
        <v/>
      </c>
      <c r="P183" s="4" t="str">
        <f t="shared" si="22"/>
        <v/>
      </c>
      <c r="Q183" t="str">
        <f t="shared" si="23"/>
        <v/>
      </c>
      <c r="R183" t="str">
        <f t="shared" si="24"/>
        <v/>
      </c>
      <c r="S183" s="1" t="str">
        <f t="shared" si="25"/>
        <v>weekly</v>
      </c>
      <c r="T183" s="4" t="str">
        <f t="shared" si="26"/>
        <v/>
      </c>
      <c r="U183" s="10" t="str">
        <f t="shared" si="27"/>
        <v/>
      </c>
      <c r="V183" s="10" t="str">
        <f t="shared" si="28"/>
        <v/>
      </c>
      <c r="W183" s="33" t="str">
        <f t="shared" si="29"/>
        <v/>
      </c>
    </row>
    <row r="184" spans="3:23">
      <c r="C184" s="28"/>
      <c r="E184" s="2"/>
      <c r="I184" s="31"/>
      <c r="J184" s="16"/>
      <c r="N184" s="6" t="str">
        <f t="shared" si="20"/>
        <v/>
      </c>
      <c r="O184" s="4" t="str">
        <f t="shared" si="21"/>
        <v/>
      </c>
      <c r="P184" s="4" t="str">
        <f t="shared" si="22"/>
        <v/>
      </c>
      <c r="Q184" t="str">
        <f t="shared" si="23"/>
        <v/>
      </c>
      <c r="R184" t="str">
        <f t="shared" si="24"/>
        <v/>
      </c>
      <c r="S184" s="1" t="str">
        <f t="shared" si="25"/>
        <v>weekly</v>
      </c>
      <c r="T184" s="4" t="str">
        <f t="shared" si="26"/>
        <v/>
      </c>
      <c r="U184" s="10" t="str">
        <f t="shared" si="27"/>
        <v/>
      </c>
      <c r="V184" s="10" t="str">
        <f t="shared" si="28"/>
        <v/>
      </c>
      <c r="W184" s="33" t="str">
        <f t="shared" si="29"/>
        <v/>
      </c>
    </row>
    <row r="185" spans="3:23">
      <c r="E185" s="2"/>
      <c r="I185" s="31"/>
      <c r="J185" s="16"/>
      <c r="N185" s="6" t="str">
        <f t="shared" si="20"/>
        <v/>
      </c>
      <c r="O185" s="4" t="str">
        <f t="shared" si="21"/>
        <v/>
      </c>
      <c r="P185" s="4" t="str">
        <f t="shared" si="22"/>
        <v/>
      </c>
      <c r="Q185" t="str">
        <f t="shared" si="23"/>
        <v/>
      </c>
      <c r="R185" t="str">
        <f t="shared" si="24"/>
        <v/>
      </c>
      <c r="S185" s="1" t="str">
        <f t="shared" si="25"/>
        <v>weekly</v>
      </c>
      <c r="T185" s="4" t="str">
        <f t="shared" si="26"/>
        <v/>
      </c>
      <c r="U185" s="10" t="str">
        <f t="shared" si="27"/>
        <v/>
      </c>
      <c r="V185" s="10" t="str">
        <f t="shared" si="28"/>
        <v/>
      </c>
      <c r="W185" s="33" t="str">
        <f t="shared" si="29"/>
        <v/>
      </c>
    </row>
    <row r="186" spans="3:23">
      <c r="C186" s="28"/>
      <c r="E186" s="2"/>
      <c r="I186" s="31"/>
      <c r="J186" s="16"/>
      <c r="N186" s="6" t="str">
        <f t="shared" si="20"/>
        <v/>
      </c>
      <c r="O186" s="4" t="str">
        <f t="shared" si="21"/>
        <v/>
      </c>
      <c r="P186" s="4" t="str">
        <f t="shared" si="22"/>
        <v/>
      </c>
      <c r="Q186" t="str">
        <f t="shared" si="23"/>
        <v/>
      </c>
      <c r="R186" t="str">
        <f t="shared" si="24"/>
        <v/>
      </c>
      <c r="S186" s="1" t="str">
        <f t="shared" si="25"/>
        <v>weekly</v>
      </c>
      <c r="T186" s="4" t="str">
        <f t="shared" si="26"/>
        <v/>
      </c>
      <c r="U186" s="10" t="str">
        <f t="shared" si="27"/>
        <v/>
      </c>
      <c r="V186" s="10" t="str">
        <f t="shared" si="28"/>
        <v/>
      </c>
      <c r="W186" s="33" t="str">
        <f t="shared" si="29"/>
        <v/>
      </c>
    </row>
    <row r="187" spans="3:23">
      <c r="C187" s="28"/>
      <c r="E187" s="2"/>
      <c r="I187" s="31"/>
      <c r="J187" s="16"/>
      <c r="N187" s="6" t="str">
        <f t="shared" si="20"/>
        <v/>
      </c>
      <c r="O187" s="4" t="str">
        <f t="shared" si="21"/>
        <v/>
      </c>
      <c r="P187" s="4" t="str">
        <f t="shared" si="22"/>
        <v/>
      </c>
      <c r="Q187" t="str">
        <f t="shared" si="23"/>
        <v/>
      </c>
      <c r="R187" t="str">
        <f t="shared" si="24"/>
        <v/>
      </c>
      <c r="S187" s="1" t="str">
        <f t="shared" si="25"/>
        <v>weekly</v>
      </c>
      <c r="T187" s="4" t="str">
        <f t="shared" si="26"/>
        <v/>
      </c>
      <c r="U187" s="10" t="str">
        <f t="shared" si="27"/>
        <v/>
      </c>
      <c r="V187" s="10" t="str">
        <f t="shared" si="28"/>
        <v/>
      </c>
      <c r="W187" s="33" t="str">
        <f t="shared" si="29"/>
        <v/>
      </c>
    </row>
    <row r="188" spans="3:23">
      <c r="C188" s="28"/>
      <c r="E188" s="2"/>
      <c r="I188" s="31"/>
      <c r="J188" s="16"/>
      <c r="N188" s="6" t="str">
        <f t="shared" si="20"/>
        <v/>
      </c>
      <c r="O188" s="4" t="str">
        <f t="shared" si="21"/>
        <v/>
      </c>
      <c r="P188" s="4" t="str">
        <f t="shared" si="22"/>
        <v/>
      </c>
      <c r="Q188" t="str">
        <f t="shared" si="23"/>
        <v/>
      </c>
      <c r="R188" t="str">
        <f t="shared" si="24"/>
        <v/>
      </c>
      <c r="S188" s="1" t="str">
        <f t="shared" si="25"/>
        <v>weekly</v>
      </c>
      <c r="T188" s="4" t="str">
        <f t="shared" si="26"/>
        <v/>
      </c>
      <c r="U188" s="10" t="str">
        <f t="shared" si="27"/>
        <v/>
      </c>
      <c r="V188" s="10" t="str">
        <f t="shared" si="28"/>
        <v/>
      </c>
      <c r="W188" s="33" t="str">
        <f t="shared" si="29"/>
        <v/>
      </c>
    </row>
    <row r="189" spans="3:23">
      <c r="C189" s="28"/>
      <c r="E189" s="2"/>
      <c r="H189" s="2"/>
      <c r="I189" s="31"/>
      <c r="J189" s="16"/>
      <c r="N189" s="6" t="str">
        <f t="shared" si="20"/>
        <v/>
      </c>
      <c r="O189" s="4" t="str">
        <f t="shared" si="21"/>
        <v/>
      </c>
      <c r="P189" s="4" t="str">
        <f t="shared" si="22"/>
        <v/>
      </c>
      <c r="Q189" t="str">
        <f t="shared" si="23"/>
        <v/>
      </c>
      <c r="R189" t="str">
        <f t="shared" si="24"/>
        <v/>
      </c>
      <c r="S189" s="1" t="str">
        <f t="shared" si="25"/>
        <v>weekly</v>
      </c>
      <c r="T189" s="4" t="str">
        <f t="shared" si="26"/>
        <v/>
      </c>
      <c r="U189" s="10" t="str">
        <f t="shared" si="27"/>
        <v/>
      </c>
      <c r="V189" s="10" t="str">
        <f t="shared" si="28"/>
        <v/>
      </c>
      <c r="W189" s="33" t="str">
        <f t="shared" si="29"/>
        <v/>
      </c>
    </row>
    <row r="190" spans="3:23">
      <c r="C190" s="29"/>
      <c r="E190" s="2"/>
      <c r="H190" s="2"/>
      <c r="I190" s="31"/>
      <c r="J190" s="16"/>
      <c r="N190" s="6" t="str">
        <f t="shared" si="20"/>
        <v/>
      </c>
      <c r="O190" s="4" t="str">
        <f t="shared" si="21"/>
        <v/>
      </c>
      <c r="P190" s="4" t="str">
        <f t="shared" si="22"/>
        <v/>
      </c>
      <c r="Q190" t="str">
        <f t="shared" si="23"/>
        <v/>
      </c>
      <c r="R190" t="str">
        <f t="shared" si="24"/>
        <v/>
      </c>
      <c r="S190" s="1" t="str">
        <f t="shared" si="25"/>
        <v>weekly</v>
      </c>
      <c r="T190" s="4" t="str">
        <f t="shared" si="26"/>
        <v/>
      </c>
      <c r="U190" s="10" t="str">
        <f t="shared" si="27"/>
        <v/>
      </c>
      <c r="V190" s="10" t="str">
        <f t="shared" si="28"/>
        <v/>
      </c>
      <c r="W190" s="33" t="str">
        <f t="shared" si="29"/>
        <v/>
      </c>
    </row>
    <row r="191" spans="3:23">
      <c r="C191" s="29"/>
      <c r="E191" s="2"/>
      <c r="H191" s="2"/>
      <c r="I191" s="31"/>
      <c r="J191" s="16"/>
      <c r="N191" s="6" t="str">
        <f t="shared" si="20"/>
        <v/>
      </c>
      <c r="O191" s="4" t="str">
        <f t="shared" si="21"/>
        <v/>
      </c>
      <c r="P191" s="4" t="str">
        <f t="shared" si="22"/>
        <v/>
      </c>
      <c r="Q191" t="str">
        <f t="shared" si="23"/>
        <v/>
      </c>
      <c r="R191" t="str">
        <f t="shared" si="24"/>
        <v/>
      </c>
      <c r="S191" s="1" t="str">
        <f t="shared" si="25"/>
        <v>weekly</v>
      </c>
      <c r="T191" s="4" t="str">
        <f t="shared" si="26"/>
        <v/>
      </c>
      <c r="U191" s="10" t="str">
        <f t="shared" si="27"/>
        <v/>
      </c>
      <c r="V191" s="10" t="str">
        <f t="shared" si="28"/>
        <v/>
      </c>
      <c r="W191" s="33" t="str">
        <f t="shared" si="29"/>
        <v/>
      </c>
    </row>
    <row r="192" spans="3:23">
      <c r="C192" s="29"/>
      <c r="E192" s="2"/>
      <c r="H192" s="2"/>
      <c r="I192" s="31"/>
      <c r="J192" s="16"/>
      <c r="N192" s="6" t="str">
        <f t="shared" si="20"/>
        <v/>
      </c>
      <c r="O192" s="4" t="str">
        <f t="shared" si="21"/>
        <v/>
      </c>
      <c r="P192" s="4" t="str">
        <f t="shared" si="22"/>
        <v/>
      </c>
      <c r="Q192" t="str">
        <f t="shared" si="23"/>
        <v/>
      </c>
      <c r="R192" t="str">
        <f t="shared" si="24"/>
        <v/>
      </c>
      <c r="S192" s="1" t="str">
        <f t="shared" si="25"/>
        <v>weekly</v>
      </c>
      <c r="T192" s="4" t="str">
        <f t="shared" si="26"/>
        <v/>
      </c>
      <c r="U192" s="10" t="str">
        <f t="shared" si="27"/>
        <v/>
      </c>
      <c r="V192" s="10" t="str">
        <f t="shared" si="28"/>
        <v/>
      </c>
      <c r="W192" s="33" t="str">
        <f t="shared" si="29"/>
        <v/>
      </c>
    </row>
    <row r="193" spans="3:23">
      <c r="C193" s="47"/>
      <c r="D193" s="23"/>
      <c r="E193" s="35"/>
      <c r="F193" s="23"/>
      <c r="G193" s="23"/>
      <c r="H193" s="35"/>
      <c r="I193" s="37"/>
      <c r="J193" s="38"/>
      <c r="K193" s="22"/>
      <c r="L193" s="22"/>
      <c r="M193" s="23"/>
      <c r="N193" s="6" t="str">
        <f t="shared" si="20"/>
        <v/>
      </c>
      <c r="O193" s="4" t="str">
        <f t="shared" si="21"/>
        <v/>
      </c>
      <c r="P193" s="4" t="str">
        <f t="shared" si="22"/>
        <v/>
      </c>
      <c r="Q193" t="str">
        <f t="shared" si="23"/>
        <v/>
      </c>
      <c r="R193" t="str">
        <f t="shared" si="24"/>
        <v/>
      </c>
      <c r="S193" s="1" t="str">
        <f t="shared" si="25"/>
        <v>weekly</v>
      </c>
      <c r="T193" s="4" t="str">
        <f t="shared" si="26"/>
        <v/>
      </c>
      <c r="U193" s="10" t="str">
        <f t="shared" si="27"/>
        <v/>
      </c>
      <c r="V193" s="10" t="str">
        <f t="shared" si="28"/>
        <v/>
      </c>
      <c r="W193" s="33" t="str">
        <f t="shared" si="29"/>
        <v/>
      </c>
    </row>
    <row r="194" spans="3:23">
      <c r="C194" s="29"/>
      <c r="E194" s="2"/>
      <c r="H194" s="2"/>
      <c r="I194" s="31"/>
      <c r="J194" s="16"/>
      <c r="N194" s="6" t="str">
        <f t="shared" ref="N194:N257" si="30">IF(D194="","",TIMEVALUE(D194))</f>
        <v/>
      </c>
      <c r="O194" s="4" t="str">
        <f t="shared" ref="O194:O257" si="31">IF(D194="","",HOUR(D194)*60 + MINUTE(D194) + SECOND(D194)/60)</f>
        <v/>
      </c>
      <c r="P194" s="4" t="str">
        <f t="shared" ref="P194:P257" si="32">IF(O194="","",O194/E194)</f>
        <v/>
      </c>
      <c r="Q194" t="str">
        <f t="shared" ref="Q194:Q257" si="33">IF(O194="", "", IF(MOD(P194,1)*60&gt;=59.5, TEXT(INT(P194)+1, "0") &amp; ":00", TEXT(INT(P194), "0") &amp; ":" &amp; TEXT(ROUND(MOD(P194,1)*60, 0), "00")))</f>
        <v/>
      </c>
      <c r="R194" t="str">
        <f t="shared" ref="R194:R257" si="34">IF(A194&lt;&gt;"",A194,"")</f>
        <v/>
      </c>
      <c r="S194" s="1" t="str">
        <f t="shared" ref="S194:S257" si="35">IFERROR(IF(ISBLANK(C194), S193,INDEX($C$2:$C$365, MATCH(R194,$R$2:$R$365, 0)) - WEEKDAY(INDEX($C$2:$C$365, MATCH(R194,$R$2:$R$365, 0)), 2) + 1), "")</f>
        <v>weekly</v>
      </c>
      <c r="T194" s="4" t="str">
        <f t="shared" ref="T194:T257" si="36">IF(S194="","",IF(S194=S193, "", SUMIFS(E:E,S:S, S194)))</f>
        <v/>
      </c>
      <c r="U194" s="10" t="str">
        <f t="shared" ref="U194:U257" si="37">IF(S194="","",IF(S194=S193, "", SUMIFS(N:N,S:S, S194)))</f>
        <v/>
      </c>
      <c r="V194" s="10" t="str">
        <f t="shared" ref="V194:V257" si="38">IF(S194="","",IF(S194=S193, "", AVERAGEIF(S:S,S194,J:J)))</f>
        <v/>
      </c>
      <c r="W194" s="33" t="str">
        <f t="shared" ref="W194:W257" si="39">IF(S194="","",IF(S194=S193, "", AVERAGEIF(S:S,S194,K:K)))</f>
        <v/>
      </c>
    </row>
    <row r="195" spans="3:23">
      <c r="C195" s="29"/>
      <c r="E195" s="2"/>
      <c r="I195" s="31"/>
      <c r="J195" s="16"/>
      <c r="N195" s="6" t="str">
        <f t="shared" si="30"/>
        <v/>
      </c>
      <c r="O195" s="4" t="str">
        <f t="shared" si="31"/>
        <v/>
      </c>
      <c r="P195" s="4" t="str">
        <f t="shared" si="32"/>
        <v/>
      </c>
      <c r="Q195" t="str">
        <f t="shared" si="33"/>
        <v/>
      </c>
      <c r="R195" t="str">
        <f t="shared" si="34"/>
        <v/>
      </c>
      <c r="S195" s="1" t="str">
        <f t="shared" si="35"/>
        <v>weekly</v>
      </c>
      <c r="T195" s="4" t="str">
        <f t="shared" si="36"/>
        <v/>
      </c>
      <c r="U195" s="10" t="str">
        <f t="shared" si="37"/>
        <v/>
      </c>
      <c r="V195" s="10" t="str">
        <f t="shared" si="38"/>
        <v/>
      </c>
      <c r="W195" s="33" t="str">
        <f t="shared" si="39"/>
        <v/>
      </c>
    </row>
    <row r="196" spans="3:23">
      <c r="C196" s="29"/>
      <c r="E196" s="2"/>
      <c r="H196" s="2"/>
      <c r="I196" s="31"/>
      <c r="J196" s="16"/>
      <c r="N196" s="6" t="str">
        <f t="shared" si="30"/>
        <v/>
      </c>
      <c r="O196" s="4" t="str">
        <f t="shared" si="31"/>
        <v/>
      </c>
      <c r="P196" s="4" t="str">
        <f t="shared" si="32"/>
        <v/>
      </c>
      <c r="Q196" t="str">
        <f t="shared" si="33"/>
        <v/>
      </c>
      <c r="R196" t="str">
        <f t="shared" si="34"/>
        <v/>
      </c>
      <c r="S196" s="1" t="str">
        <f t="shared" si="35"/>
        <v>weekly</v>
      </c>
      <c r="T196" s="4" t="str">
        <f t="shared" si="36"/>
        <v/>
      </c>
      <c r="U196" s="10" t="str">
        <f t="shared" si="37"/>
        <v/>
      </c>
      <c r="V196" s="10" t="str">
        <f t="shared" si="38"/>
        <v/>
      </c>
      <c r="W196" s="33" t="str">
        <f t="shared" si="39"/>
        <v/>
      </c>
    </row>
    <row r="197" spans="3:23">
      <c r="C197" s="29"/>
      <c r="I197" s="31"/>
      <c r="J197" s="16"/>
      <c r="N197" s="6" t="str">
        <f t="shared" si="30"/>
        <v/>
      </c>
      <c r="O197" s="4" t="str">
        <f t="shared" si="31"/>
        <v/>
      </c>
      <c r="P197" s="4" t="str">
        <f t="shared" si="32"/>
        <v/>
      </c>
      <c r="Q197" t="str">
        <f t="shared" si="33"/>
        <v/>
      </c>
      <c r="R197" t="str">
        <f t="shared" si="34"/>
        <v/>
      </c>
      <c r="S197" s="1" t="str">
        <f t="shared" si="35"/>
        <v>weekly</v>
      </c>
      <c r="T197" s="4" t="str">
        <f t="shared" si="36"/>
        <v/>
      </c>
      <c r="U197" s="10" t="str">
        <f t="shared" si="37"/>
        <v/>
      </c>
      <c r="V197" s="10" t="str">
        <f t="shared" si="38"/>
        <v/>
      </c>
      <c r="W197" s="33" t="str">
        <f t="shared" si="39"/>
        <v/>
      </c>
    </row>
    <row r="198" spans="3:23">
      <c r="C198" s="29"/>
      <c r="I198" s="31"/>
      <c r="J198" s="16"/>
      <c r="N198" s="6" t="str">
        <f t="shared" si="30"/>
        <v/>
      </c>
      <c r="O198" s="4" t="str">
        <f t="shared" si="31"/>
        <v/>
      </c>
      <c r="P198" s="4" t="str">
        <f t="shared" si="32"/>
        <v/>
      </c>
      <c r="Q198" t="str">
        <f t="shared" si="33"/>
        <v/>
      </c>
      <c r="R198" t="str">
        <f t="shared" si="34"/>
        <v/>
      </c>
      <c r="S198" s="1" t="str">
        <f t="shared" si="35"/>
        <v>weekly</v>
      </c>
      <c r="T198" s="4" t="str">
        <f t="shared" si="36"/>
        <v/>
      </c>
      <c r="U198" s="10" t="str">
        <f t="shared" si="37"/>
        <v/>
      </c>
      <c r="V198" s="10" t="str">
        <f t="shared" si="38"/>
        <v/>
      </c>
      <c r="W198" s="33" t="str">
        <f t="shared" si="39"/>
        <v/>
      </c>
    </row>
    <row r="199" spans="3:23">
      <c r="C199" s="29"/>
      <c r="I199" s="31"/>
      <c r="J199" s="16"/>
      <c r="N199" s="6" t="str">
        <f t="shared" si="30"/>
        <v/>
      </c>
      <c r="O199" s="4" t="str">
        <f t="shared" si="31"/>
        <v/>
      </c>
      <c r="P199" s="4" t="str">
        <f t="shared" si="32"/>
        <v/>
      </c>
      <c r="Q199" t="str">
        <f t="shared" si="33"/>
        <v/>
      </c>
      <c r="R199" t="str">
        <f t="shared" si="34"/>
        <v/>
      </c>
      <c r="S199" s="1" t="str">
        <f t="shared" si="35"/>
        <v>weekly</v>
      </c>
      <c r="T199" s="4" t="str">
        <f t="shared" si="36"/>
        <v/>
      </c>
      <c r="U199" s="10" t="str">
        <f t="shared" si="37"/>
        <v/>
      </c>
      <c r="V199" s="10" t="str">
        <f t="shared" si="38"/>
        <v/>
      </c>
      <c r="W199" s="33" t="str">
        <f t="shared" si="39"/>
        <v/>
      </c>
    </row>
    <row r="200" spans="3:23">
      <c r="C200" s="29"/>
      <c r="I200" s="31"/>
      <c r="J200" s="16"/>
      <c r="N200" s="6" t="str">
        <f t="shared" si="30"/>
        <v/>
      </c>
      <c r="O200" s="4" t="str">
        <f t="shared" si="31"/>
        <v/>
      </c>
      <c r="P200" s="4" t="str">
        <f t="shared" si="32"/>
        <v/>
      </c>
      <c r="Q200" t="str">
        <f t="shared" si="33"/>
        <v/>
      </c>
      <c r="R200" t="str">
        <f t="shared" si="34"/>
        <v/>
      </c>
      <c r="S200" s="1" t="str">
        <f t="shared" si="35"/>
        <v>weekly</v>
      </c>
      <c r="T200" s="4" t="str">
        <f t="shared" si="36"/>
        <v/>
      </c>
      <c r="U200" s="10" t="str">
        <f t="shared" si="37"/>
        <v/>
      </c>
      <c r="V200" s="10" t="str">
        <f t="shared" si="38"/>
        <v/>
      </c>
      <c r="W200" s="33" t="str">
        <f t="shared" si="39"/>
        <v/>
      </c>
    </row>
    <row r="201" spans="3:23">
      <c r="C201" s="29"/>
      <c r="I201" s="31"/>
      <c r="J201" s="16"/>
      <c r="N201" s="6" t="str">
        <f t="shared" si="30"/>
        <v/>
      </c>
      <c r="O201" s="4" t="str">
        <f t="shared" si="31"/>
        <v/>
      </c>
      <c r="P201" s="4" t="str">
        <f t="shared" si="32"/>
        <v/>
      </c>
      <c r="Q201" t="str">
        <f t="shared" si="33"/>
        <v/>
      </c>
      <c r="R201" t="str">
        <f t="shared" si="34"/>
        <v/>
      </c>
      <c r="S201" s="1" t="str">
        <f t="shared" si="35"/>
        <v>weekly</v>
      </c>
      <c r="T201" s="4" t="str">
        <f t="shared" si="36"/>
        <v/>
      </c>
      <c r="U201" s="10" t="str">
        <f t="shared" si="37"/>
        <v/>
      </c>
      <c r="V201" s="10" t="str">
        <f t="shared" si="38"/>
        <v/>
      </c>
      <c r="W201" s="33" t="str">
        <f t="shared" si="39"/>
        <v/>
      </c>
    </row>
    <row r="202" spans="3:23">
      <c r="C202" s="29"/>
      <c r="I202" s="31"/>
      <c r="J202" s="16"/>
      <c r="N202" s="6" t="str">
        <f t="shared" si="30"/>
        <v/>
      </c>
      <c r="O202" s="4" t="str">
        <f t="shared" si="31"/>
        <v/>
      </c>
      <c r="P202" s="4" t="str">
        <f t="shared" si="32"/>
        <v/>
      </c>
      <c r="Q202" t="str">
        <f t="shared" si="33"/>
        <v/>
      </c>
      <c r="R202" t="str">
        <f t="shared" si="34"/>
        <v/>
      </c>
      <c r="S202" s="1" t="str">
        <f t="shared" si="35"/>
        <v>weekly</v>
      </c>
      <c r="T202" s="4" t="str">
        <f t="shared" si="36"/>
        <v/>
      </c>
      <c r="U202" s="10" t="str">
        <f t="shared" si="37"/>
        <v/>
      </c>
      <c r="V202" s="10" t="str">
        <f t="shared" si="38"/>
        <v/>
      </c>
      <c r="W202" s="33" t="str">
        <f t="shared" si="39"/>
        <v/>
      </c>
    </row>
    <row r="203" spans="3:23">
      <c r="C203" s="29"/>
      <c r="I203" s="31"/>
      <c r="J203" s="16"/>
      <c r="N203" s="6" t="str">
        <f t="shared" si="30"/>
        <v/>
      </c>
      <c r="O203" s="4" t="str">
        <f t="shared" si="31"/>
        <v/>
      </c>
      <c r="P203" s="4" t="str">
        <f t="shared" si="32"/>
        <v/>
      </c>
      <c r="Q203" t="str">
        <f t="shared" si="33"/>
        <v/>
      </c>
      <c r="R203" t="str">
        <f t="shared" si="34"/>
        <v/>
      </c>
      <c r="S203" s="1" t="str">
        <f t="shared" si="35"/>
        <v>weekly</v>
      </c>
      <c r="T203" s="4" t="str">
        <f t="shared" si="36"/>
        <v/>
      </c>
      <c r="U203" s="10" t="str">
        <f t="shared" si="37"/>
        <v/>
      </c>
      <c r="V203" s="10" t="str">
        <f t="shared" si="38"/>
        <v/>
      </c>
      <c r="W203" s="33" t="str">
        <f t="shared" si="39"/>
        <v/>
      </c>
    </row>
    <row r="204" spans="3:23">
      <c r="C204" s="30"/>
      <c r="I204" s="31"/>
      <c r="J204" s="16"/>
      <c r="N204" s="6" t="str">
        <f t="shared" si="30"/>
        <v/>
      </c>
      <c r="O204" s="4" t="str">
        <f t="shared" si="31"/>
        <v/>
      </c>
      <c r="P204" s="4" t="str">
        <f t="shared" si="32"/>
        <v/>
      </c>
      <c r="Q204" t="str">
        <f t="shared" si="33"/>
        <v/>
      </c>
      <c r="R204" t="str">
        <f t="shared" si="34"/>
        <v/>
      </c>
      <c r="S204" s="1" t="str">
        <f t="shared" si="35"/>
        <v>weekly</v>
      </c>
      <c r="T204" s="4" t="str">
        <f t="shared" si="36"/>
        <v/>
      </c>
      <c r="U204" s="10" t="str">
        <f t="shared" si="37"/>
        <v/>
      </c>
      <c r="V204" s="10" t="str">
        <f t="shared" si="38"/>
        <v/>
      </c>
      <c r="W204" s="33" t="str">
        <f t="shared" si="39"/>
        <v/>
      </c>
    </row>
    <row r="205" spans="3:23">
      <c r="C205" s="30"/>
      <c r="I205" s="31"/>
      <c r="J205" s="16"/>
      <c r="N205" s="6" t="str">
        <f t="shared" si="30"/>
        <v/>
      </c>
      <c r="O205" s="4" t="str">
        <f t="shared" si="31"/>
        <v/>
      </c>
      <c r="P205" s="4" t="str">
        <f t="shared" si="32"/>
        <v/>
      </c>
      <c r="Q205" t="str">
        <f t="shared" si="33"/>
        <v/>
      </c>
      <c r="R205" t="str">
        <f t="shared" si="34"/>
        <v/>
      </c>
      <c r="S205" s="1" t="str">
        <f t="shared" si="35"/>
        <v>weekly</v>
      </c>
      <c r="T205" s="4" t="str">
        <f t="shared" si="36"/>
        <v/>
      </c>
      <c r="U205" s="10" t="str">
        <f t="shared" si="37"/>
        <v/>
      </c>
      <c r="V205" s="10" t="str">
        <f t="shared" si="38"/>
        <v/>
      </c>
      <c r="W205" s="33" t="str">
        <f t="shared" si="39"/>
        <v/>
      </c>
    </row>
    <row r="206" spans="3:23">
      <c r="C206" s="30"/>
      <c r="I206" s="31"/>
      <c r="J206" s="16"/>
      <c r="N206" s="6" t="str">
        <f t="shared" si="30"/>
        <v/>
      </c>
      <c r="O206" s="4" t="str">
        <f t="shared" si="31"/>
        <v/>
      </c>
      <c r="P206" s="4" t="str">
        <f t="shared" si="32"/>
        <v/>
      </c>
      <c r="Q206" t="str">
        <f t="shared" si="33"/>
        <v/>
      </c>
      <c r="R206" t="str">
        <f t="shared" si="34"/>
        <v/>
      </c>
      <c r="S206" s="1" t="str">
        <f t="shared" si="35"/>
        <v>weekly</v>
      </c>
      <c r="T206" s="4" t="str">
        <f t="shared" si="36"/>
        <v/>
      </c>
      <c r="U206" s="10" t="str">
        <f t="shared" si="37"/>
        <v/>
      </c>
      <c r="V206" s="10" t="str">
        <f t="shared" si="38"/>
        <v/>
      </c>
      <c r="W206" s="33" t="str">
        <f t="shared" si="39"/>
        <v/>
      </c>
    </row>
    <row r="207" spans="3:23">
      <c r="C207" s="30"/>
      <c r="I207" s="31"/>
      <c r="J207" s="16"/>
      <c r="N207" s="6" t="str">
        <f t="shared" si="30"/>
        <v/>
      </c>
      <c r="O207" s="4" t="str">
        <f t="shared" si="31"/>
        <v/>
      </c>
      <c r="P207" s="4" t="str">
        <f t="shared" si="32"/>
        <v/>
      </c>
      <c r="Q207" t="str">
        <f t="shared" si="33"/>
        <v/>
      </c>
      <c r="R207" t="str">
        <f t="shared" si="34"/>
        <v/>
      </c>
      <c r="S207" s="1" t="str">
        <f t="shared" si="35"/>
        <v>weekly</v>
      </c>
      <c r="T207" s="4" t="str">
        <f t="shared" si="36"/>
        <v/>
      </c>
      <c r="U207" s="10" t="str">
        <f t="shared" si="37"/>
        <v/>
      </c>
      <c r="V207" s="10" t="str">
        <f t="shared" si="38"/>
        <v/>
      </c>
      <c r="W207" s="33" t="str">
        <f t="shared" si="39"/>
        <v/>
      </c>
    </row>
    <row r="208" spans="3:23">
      <c r="C208" s="30"/>
      <c r="I208" s="31"/>
      <c r="J208" s="16"/>
      <c r="N208" s="6" t="str">
        <f t="shared" si="30"/>
        <v/>
      </c>
      <c r="O208" s="4" t="str">
        <f t="shared" si="31"/>
        <v/>
      </c>
      <c r="P208" s="4" t="str">
        <f t="shared" si="32"/>
        <v/>
      </c>
      <c r="Q208" t="str">
        <f t="shared" si="33"/>
        <v/>
      </c>
      <c r="R208" t="str">
        <f t="shared" si="34"/>
        <v/>
      </c>
      <c r="S208" s="1" t="str">
        <f t="shared" si="35"/>
        <v>weekly</v>
      </c>
      <c r="T208" s="4" t="str">
        <f t="shared" si="36"/>
        <v/>
      </c>
      <c r="U208" s="10" t="str">
        <f t="shared" si="37"/>
        <v/>
      </c>
      <c r="V208" s="10" t="str">
        <f t="shared" si="38"/>
        <v/>
      </c>
      <c r="W208" s="33" t="str">
        <f t="shared" si="39"/>
        <v/>
      </c>
    </row>
    <row r="209" spans="3:23">
      <c r="C209" s="30"/>
      <c r="I209" s="31"/>
      <c r="J209" s="16"/>
      <c r="N209" s="6" t="str">
        <f t="shared" si="30"/>
        <v/>
      </c>
      <c r="O209" s="4" t="str">
        <f t="shared" si="31"/>
        <v/>
      </c>
      <c r="P209" s="4" t="str">
        <f t="shared" si="32"/>
        <v/>
      </c>
      <c r="Q209" t="str">
        <f t="shared" si="33"/>
        <v/>
      </c>
      <c r="R209" t="str">
        <f t="shared" si="34"/>
        <v/>
      </c>
      <c r="S209" s="1" t="str">
        <f t="shared" si="35"/>
        <v>weekly</v>
      </c>
      <c r="T209" s="4" t="str">
        <f t="shared" si="36"/>
        <v/>
      </c>
      <c r="U209" s="10" t="str">
        <f t="shared" si="37"/>
        <v/>
      </c>
      <c r="V209" s="10" t="str">
        <f t="shared" si="38"/>
        <v/>
      </c>
      <c r="W209" s="33" t="str">
        <f t="shared" si="39"/>
        <v/>
      </c>
    </row>
    <row r="210" spans="3:23">
      <c r="C210" s="30"/>
      <c r="I210" s="31"/>
      <c r="J210" s="16"/>
      <c r="N210" s="6" t="str">
        <f t="shared" si="30"/>
        <v/>
      </c>
      <c r="O210" s="4" t="str">
        <f t="shared" si="31"/>
        <v/>
      </c>
      <c r="P210" s="4" t="str">
        <f t="shared" si="32"/>
        <v/>
      </c>
      <c r="Q210" t="str">
        <f t="shared" si="33"/>
        <v/>
      </c>
      <c r="R210" t="str">
        <f t="shared" si="34"/>
        <v/>
      </c>
      <c r="S210" s="1" t="str">
        <f t="shared" si="35"/>
        <v>weekly</v>
      </c>
      <c r="T210" s="4" t="str">
        <f t="shared" si="36"/>
        <v/>
      </c>
      <c r="U210" s="10" t="str">
        <f t="shared" si="37"/>
        <v/>
      </c>
      <c r="V210" s="10" t="str">
        <f t="shared" si="38"/>
        <v/>
      </c>
      <c r="W210" s="33" t="str">
        <f t="shared" si="39"/>
        <v/>
      </c>
    </row>
    <row r="211" spans="3:23">
      <c r="C211" s="30"/>
      <c r="I211" s="31"/>
      <c r="J211" s="16"/>
      <c r="N211" s="6" t="str">
        <f t="shared" si="30"/>
        <v/>
      </c>
      <c r="O211" s="4" t="str">
        <f t="shared" si="31"/>
        <v/>
      </c>
      <c r="P211" s="4" t="str">
        <f t="shared" si="32"/>
        <v/>
      </c>
      <c r="Q211" t="str">
        <f t="shared" si="33"/>
        <v/>
      </c>
      <c r="R211" t="str">
        <f t="shared" si="34"/>
        <v/>
      </c>
      <c r="S211" s="1" t="str">
        <f t="shared" si="35"/>
        <v>weekly</v>
      </c>
      <c r="T211" s="4" t="str">
        <f t="shared" si="36"/>
        <v/>
      </c>
      <c r="U211" s="10" t="str">
        <f t="shared" si="37"/>
        <v/>
      </c>
      <c r="V211" s="10" t="str">
        <f t="shared" si="38"/>
        <v/>
      </c>
      <c r="W211" s="33" t="str">
        <f t="shared" si="39"/>
        <v/>
      </c>
    </row>
    <row r="212" spans="3:23">
      <c r="C212" s="30"/>
      <c r="I212" s="31"/>
      <c r="J212" s="16"/>
      <c r="N212" s="6" t="str">
        <f t="shared" si="30"/>
        <v/>
      </c>
      <c r="O212" s="4" t="str">
        <f t="shared" si="31"/>
        <v/>
      </c>
      <c r="P212" s="4" t="str">
        <f t="shared" si="32"/>
        <v/>
      </c>
      <c r="Q212" t="str">
        <f t="shared" si="33"/>
        <v/>
      </c>
      <c r="R212" t="str">
        <f t="shared" si="34"/>
        <v/>
      </c>
      <c r="S212" s="1" t="str">
        <f t="shared" si="35"/>
        <v>weekly</v>
      </c>
      <c r="T212" s="4" t="str">
        <f t="shared" si="36"/>
        <v/>
      </c>
      <c r="U212" s="10" t="str">
        <f t="shared" si="37"/>
        <v/>
      </c>
      <c r="V212" s="10" t="str">
        <f t="shared" si="38"/>
        <v/>
      </c>
      <c r="W212" s="33" t="str">
        <f t="shared" si="39"/>
        <v/>
      </c>
    </row>
    <row r="213" spans="3:23">
      <c r="C213" s="30"/>
      <c r="I213" s="31"/>
      <c r="J213" s="16"/>
      <c r="N213" s="6" t="str">
        <f t="shared" si="30"/>
        <v/>
      </c>
      <c r="O213" s="4" t="str">
        <f t="shared" si="31"/>
        <v/>
      </c>
      <c r="P213" s="4" t="str">
        <f t="shared" si="32"/>
        <v/>
      </c>
      <c r="Q213" t="str">
        <f t="shared" si="33"/>
        <v/>
      </c>
      <c r="R213" t="str">
        <f t="shared" si="34"/>
        <v/>
      </c>
      <c r="S213" s="1" t="str">
        <f t="shared" si="35"/>
        <v>weekly</v>
      </c>
      <c r="T213" s="4" t="str">
        <f t="shared" si="36"/>
        <v/>
      </c>
      <c r="U213" s="10" t="str">
        <f t="shared" si="37"/>
        <v/>
      </c>
      <c r="V213" s="10" t="str">
        <f t="shared" si="38"/>
        <v/>
      </c>
      <c r="W213" s="33" t="str">
        <f t="shared" si="39"/>
        <v/>
      </c>
    </row>
    <row r="214" spans="3:23">
      <c r="C214" s="30"/>
      <c r="I214" s="31"/>
      <c r="J214" s="16"/>
      <c r="N214" s="6" t="str">
        <f t="shared" si="30"/>
        <v/>
      </c>
      <c r="O214" s="4" t="str">
        <f t="shared" si="31"/>
        <v/>
      </c>
      <c r="P214" s="4" t="str">
        <f t="shared" si="32"/>
        <v/>
      </c>
      <c r="Q214" t="str">
        <f t="shared" si="33"/>
        <v/>
      </c>
      <c r="R214" t="str">
        <f t="shared" si="34"/>
        <v/>
      </c>
      <c r="S214" s="1" t="str">
        <f t="shared" si="35"/>
        <v>weekly</v>
      </c>
      <c r="T214" s="4" t="str">
        <f t="shared" si="36"/>
        <v/>
      </c>
      <c r="U214" s="10" t="str">
        <f t="shared" si="37"/>
        <v/>
      </c>
      <c r="V214" s="10" t="str">
        <f t="shared" si="38"/>
        <v/>
      </c>
      <c r="W214" s="33" t="str">
        <f t="shared" si="39"/>
        <v/>
      </c>
    </row>
    <row r="215" spans="3:23">
      <c r="C215" s="30"/>
      <c r="I215" s="31"/>
      <c r="J215" s="16"/>
      <c r="N215" s="6" t="str">
        <f t="shared" si="30"/>
        <v/>
      </c>
      <c r="O215" s="4" t="str">
        <f t="shared" si="31"/>
        <v/>
      </c>
      <c r="P215" s="4" t="str">
        <f t="shared" si="32"/>
        <v/>
      </c>
      <c r="Q215" t="str">
        <f t="shared" si="33"/>
        <v/>
      </c>
      <c r="R215" t="str">
        <f t="shared" si="34"/>
        <v/>
      </c>
      <c r="S215" s="1" t="str">
        <f t="shared" si="35"/>
        <v>weekly</v>
      </c>
      <c r="T215" s="4" t="str">
        <f t="shared" si="36"/>
        <v/>
      </c>
      <c r="U215" s="10" t="str">
        <f t="shared" si="37"/>
        <v/>
      </c>
      <c r="V215" s="10" t="str">
        <f t="shared" si="38"/>
        <v/>
      </c>
      <c r="W215" s="33" t="str">
        <f t="shared" si="39"/>
        <v/>
      </c>
    </row>
    <row r="216" spans="3:23">
      <c r="C216" s="30"/>
      <c r="I216" s="31"/>
      <c r="J216" s="16"/>
      <c r="N216" s="6" t="str">
        <f t="shared" si="30"/>
        <v/>
      </c>
      <c r="O216" s="4" t="str">
        <f t="shared" si="31"/>
        <v/>
      </c>
      <c r="P216" s="4" t="str">
        <f t="shared" si="32"/>
        <v/>
      </c>
      <c r="Q216" t="str">
        <f t="shared" si="33"/>
        <v/>
      </c>
      <c r="R216" t="str">
        <f t="shared" si="34"/>
        <v/>
      </c>
      <c r="S216" s="1" t="str">
        <f t="shared" si="35"/>
        <v>weekly</v>
      </c>
      <c r="T216" s="4" t="str">
        <f t="shared" si="36"/>
        <v/>
      </c>
      <c r="U216" s="10" t="str">
        <f t="shared" si="37"/>
        <v/>
      </c>
      <c r="V216" s="10" t="str">
        <f t="shared" si="38"/>
        <v/>
      </c>
      <c r="W216" s="33" t="str">
        <f t="shared" si="39"/>
        <v/>
      </c>
    </row>
    <row r="217" spans="3:23">
      <c r="C217" s="30"/>
      <c r="I217" s="31"/>
      <c r="J217" s="16"/>
      <c r="N217" s="6" t="str">
        <f t="shared" si="30"/>
        <v/>
      </c>
      <c r="O217" s="4" t="str">
        <f t="shared" si="31"/>
        <v/>
      </c>
      <c r="P217" s="4" t="str">
        <f t="shared" si="32"/>
        <v/>
      </c>
      <c r="Q217" t="str">
        <f t="shared" si="33"/>
        <v/>
      </c>
      <c r="R217" t="str">
        <f t="shared" si="34"/>
        <v/>
      </c>
      <c r="S217" s="1" t="str">
        <f t="shared" si="35"/>
        <v>weekly</v>
      </c>
      <c r="T217" s="4" t="str">
        <f t="shared" si="36"/>
        <v/>
      </c>
      <c r="U217" s="10" t="str">
        <f t="shared" si="37"/>
        <v/>
      </c>
      <c r="V217" s="10" t="str">
        <f t="shared" si="38"/>
        <v/>
      </c>
      <c r="W217" s="33" t="str">
        <f t="shared" si="39"/>
        <v/>
      </c>
    </row>
    <row r="218" spans="3:23">
      <c r="C218" s="30"/>
      <c r="I218" s="31"/>
      <c r="J218" s="16"/>
      <c r="N218" s="6" t="str">
        <f t="shared" si="30"/>
        <v/>
      </c>
      <c r="O218" s="4" t="str">
        <f t="shared" si="31"/>
        <v/>
      </c>
      <c r="P218" s="4" t="str">
        <f t="shared" si="32"/>
        <v/>
      </c>
      <c r="Q218" t="str">
        <f t="shared" si="33"/>
        <v/>
      </c>
      <c r="R218" t="str">
        <f t="shared" si="34"/>
        <v/>
      </c>
      <c r="S218" s="1" t="str">
        <f t="shared" si="35"/>
        <v>weekly</v>
      </c>
      <c r="T218" s="4" t="str">
        <f t="shared" si="36"/>
        <v/>
      </c>
      <c r="U218" s="10" t="str">
        <f t="shared" si="37"/>
        <v/>
      </c>
      <c r="V218" s="10" t="str">
        <f t="shared" si="38"/>
        <v/>
      </c>
      <c r="W218" s="33" t="str">
        <f t="shared" si="39"/>
        <v/>
      </c>
    </row>
    <row r="219" spans="3:23">
      <c r="C219" s="30"/>
      <c r="I219" s="31"/>
      <c r="J219" s="16"/>
      <c r="N219" s="6" t="str">
        <f t="shared" si="30"/>
        <v/>
      </c>
      <c r="O219" s="4" t="str">
        <f t="shared" si="31"/>
        <v/>
      </c>
      <c r="P219" s="4" t="str">
        <f t="shared" si="32"/>
        <v/>
      </c>
      <c r="Q219" t="str">
        <f t="shared" si="33"/>
        <v/>
      </c>
      <c r="R219" t="str">
        <f t="shared" si="34"/>
        <v/>
      </c>
      <c r="S219" s="1" t="str">
        <f t="shared" si="35"/>
        <v>weekly</v>
      </c>
      <c r="T219" s="4" t="str">
        <f t="shared" si="36"/>
        <v/>
      </c>
      <c r="U219" s="10" t="str">
        <f t="shared" si="37"/>
        <v/>
      </c>
      <c r="V219" s="10" t="str">
        <f t="shared" si="38"/>
        <v/>
      </c>
      <c r="W219" s="33" t="str">
        <f t="shared" si="39"/>
        <v/>
      </c>
    </row>
    <row r="220" spans="3:23">
      <c r="C220" s="30"/>
      <c r="I220" s="31"/>
      <c r="J220" s="16"/>
      <c r="N220" s="6" t="str">
        <f t="shared" si="30"/>
        <v/>
      </c>
      <c r="O220" s="4" t="str">
        <f t="shared" si="31"/>
        <v/>
      </c>
      <c r="P220" s="4" t="str">
        <f t="shared" si="32"/>
        <v/>
      </c>
      <c r="Q220" t="str">
        <f t="shared" si="33"/>
        <v/>
      </c>
      <c r="R220" t="str">
        <f t="shared" si="34"/>
        <v/>
      </c>
      <c r="S220" s="1" t="str">
        <f t="shared" si="35"/>
        <v>weekly</v>
      </c>
      <c r="T220" s="4" t="str">
        <f t="shared" si="36"/>
        <v/>
      </c>
      <c r="U220" s="10" t="str">
        <f t="shared" si="37"/>
        <v/>
      </c>
      <c r="V220" s="10" t="str">
        <f t="shared" si="38"/>
        <v/>
      </c>
      <c r="W220" s="33" t="str">
        <f t="shared" si="39"/>
        <v/>
      </c>
    </row>
    <row r="221" spans="3:23">
      <c r="C221" s="30"/>
      <c r="I221" s="31"/>
      <c r="J221" s="16"/>
      <c r="N221" s="6" t="str">
        <f t="shared" si="30"/>
        <v/>
      </c>
      <c r="O221" s="4" t="str">
        <f t="shared" si="31"/>
        <v/>
      </c>
      <c r="P221" s="4" t="str">
        <f t="shared" si="32"/>
        <v/>
      </c>
      <c r="Q221" t="str">
        <f t="shared" si="33"/>
        <v/>
      </c>
      <c r="R221" t="str">
        <f t="shared" si="34"/>
        <v/>
      </c>
      <c r="S221" s="1" t="str">
        <f t="shared" si="35"/>
        <v>weekly</v>
      </c>
      <c r="T221" s="4" t="str">
        <f t="shared" si="36"/>
        <v/>
      </c>
      <c r="U221" s="10" t="str">
        <f t="shared" si="37"/>
        <v/>
      </c>
      <c r="V221" s="10" t="str">
        <f t="shared" si="38"/>
        <v/>
      </c>
      <c r="W221" s="33" t="str">
        <f t="shared" si="39"/>
        <v/>
      </c>
    </row>
    <row r="222" spans="3:23">
      <c r="C222" s="30"/>
      <c r="I222" s="31"/>
      <c r="J222" s="16"/>
      <c r="N222" s="6" t="str">
        <f t="shared" si="30"/>
        <v/>
      </c>
      <c r="O222" s="4" t="str">
        <f t="shared" si="31"/>
        <v/>
      </c>
      <c r="P222" s="4" t="str">
        <f t="shared" si="32"/>
        <v/>
      </c>
      <c r="Q222" t="str">
        <f t="shared" si="33"/>
        <v/>
      </c>
      <c r="R222" t="str">
        <f t="shared" si="34"/>
        <v/>
      </c>
      <c r="S222" s="1" t="str">
        <f t="shared" si="35"/>
        <v>weekly</v>
      </c>
      <c r="T222" s="4" t="str">
        <f t="shared" si="36"/>
        <v/>
      </c>
      <c r="U222" s="10" t="str">
        <f t="shared" si="37"/>
        <v/>
      </c>
      <c r="V222" s="10" t="str">
        <f t="shared" si="38"/>
        <v/>
      </c>
      <c r="W222" s="33" t="str">
        <f t="shared" si="39"/>
        <v/>
      </c>
    </row>
    <row r="223" spans="3:23">
      <c r="C223" s="30"/>
      <c r="I223" s="31"/>
      <c r="J223" s="16"/>
      <c r="N223" s="6" t="str">
        <f t="shared" si="30"/>
        <v/>
      </c>
      <c r="O223" s="4" t="str">
        <f t="shared" si="31"/>
        <v/>
      </c>
      <c r="P223" s="4" t="str">
        <f t="shared" si="32"/>
        <v/>
      </c>
      <c r="Q223" t="str">
        <f t="shared" si="33"/>
        <v/>
      </c>
      <c r="R223" t="str">
        <f t="shared" si="34"/>
        <v/>
      </c>
      <c r="S223" s="1" t="str">
        <f t="shared" si="35"/>
        <v>weekly</v>
      </c>
      <c r="T223" s="4" t="str">
        <f t="shared" si="36"/>
        <v/>
      </c>
      <c r="U223" s="10" t="str">
        <f t="shared" si="37"/>
        <v/>
      </c>
      <c r="V223" s="10" t="str">
        <f t="shared" si="38"/>
        <v/>
      </c>
      <c r="W223" s="33" t="str">
        <f t="shared" si="39"/>
        <v/>
      </c>
    </row>
    <row r="224" spans="3:23">
      <c r="C224" s="30"/>
      <c r="I224" s="31"/>
      <c r="J224" s="16"/>
      <c r="N224" s="6" t="str">
        <f t="shared" si="30"/>
        <v/>
      </c>
      <c r="O224" s="4" t="str">
        <f t="shared" si="31"/>
        <v/>
      </c>
      <c r="P224" s="4" t="str">
        <f t="shared" si="32"/>
        <v/>
      </c>
      <c r="Q224" t="str">
        <f t="shared" si="33"/>
        <v/>
      </c>
      <c r="R224" t="str">
        <f t="shared" si="34"/>
        <v/>
      </c>
      <c r="S224" s="1" t="str">
        <f t="shared" si="35"/>
        <v>weekly</v>
      </c>
      <c r="T224" s="4" t="str">
        <f t="shared" si="36"/>
        <v/>
      </c>
      <c r="U224" s="10" t="str">
        <f t="shared" si="37"/>
        <v/>
      </c>
      <c r="V224" s="10" t="str">
        <f t="shared" si="38"/>
        <v/>
      </c>
      <c r="W224" s="33" t="str">
        <f t="shared" si="39"/>
        <v/>
      </c>
    </row>
    <row r="225" spans="3:23">
      <c r="C225" s="30"/>
      <c r="I225" s="31"/>
      <c r="J225" s="16"/>
      <c r="N225" s="6" t="str">
        <f t="shared" si="30"/>
        <v/>
      </c>
      <c r="O225" s="4" t="str">
        <f t="shared" si="31"/>
        <v/>
      </c>
      <c r="P225" s="4" t="str">
        <f t="shared" si="32"/>
        <v/>
      </c>
      <c r="Q225" t="str">
        <f t="shared" si="33"/>
        <v/>
      </c>
      <c r="R225" t="str">
        <f t="shared" si="34"/>
        <v/>
      </c>
      <c r="S225" s="1" t="str">
        <f t="shared" si="35"/>
        <v>weekly</v>
      </c>
      <c r="T225" s="4" t="str">
        <f t="shared" si="36"/>
        <v/>
      </c>
      <c r="U225" s="10" t="str">
        <f t="shared" si="37"/>
        <v/>
      </c>
      <c r="V225" s="10" t="str">
        <f t="shared" si="38"/>
        <v/>
      </c>
      <c r="W225" s="33" t="str">
        <f t="shared" si="39"/>
        <v/>
      </c>
    </row>
    <row r="226" spans="3:23">
      <c r="C226" s="30"/>
      <c r="I226" s="31"/>
      <c r="J226" s="16"/>
      <c r="N226" s="6" t="str">
        <f t="shared" si="30"/>
        <v/>
      </c>
      <c r="O226" s="4" t="str">
        <f t="shared" si="31"/>
        <v/>
      </c>
      <c r="P226" s="4" t="str">
        <f t="shared" si="32"/>
        <v/>
      </c>
      <c r="Q226" t="str">
        <f t="shared" si="33"/>
        <v/>
      </c>
      <c r="R226" t="str">
        <f t="shared" si="34"/>
        <v/>
      </c>
      <c r="S226" s="1" t="str">
        <f t="shared" si="35"/>
        <v>weekly</v>
      </c>
      <c r="T226" s="4" t="str">
        <f t="shared" si="36"/>
        <v/>
      </c>
      <c r="U226" s="10" t="str">
        <f t="shared" si="37"/>
        <v/>
      </c>
      <c r="V226" s="10" t="str">
        <f t="shared" si="38"/>
        <v/>
      </c>
      <c r="W226" s="33" t="str">
        <f t="shared" si="39"/>
        <v/>
      </c>
    </row>
    <row r="227" spans="3:23">
      <c r="C227" s="30"/>
      <c r="I227" s="31"/>
      <c r="J227" s="16"/>
      <c r="N227" s="6" t="str">
        <f t="shared" si="30"/>
        <v/>
      </c>
      <c r="O227" s="4" t="str">
        <f t="shared" si="31"/>
        <v/>
      </c>
      <c r="P227" s="4" t="str">
        <f t="shared" si="32"/>
        <v/>
      </c>
      <c r="Q227" t="str">
        <f t="shared" si="33"/>
        <v/>
      </c>
      <c r="R227" t="str">
        <f t="shared" si="34"/>
        <v/>
      </c>
      <c r="S227" s="1" t="str">
        <f t="shared" si="35"/>
        <v>weekly</v>
      </c>
      <c r="T227" s="4" t="str">
        <f t="shared" si="36"/>
        <v/>
      </c>
      <c r="U227" s="10" t="str">
        <f t="shared" si="37"/>
        <v/>
      </c>
      <c r="V227" s="10" t="str">
        <f t="shared" si="38"/>
        <v/>
      </c>
      <c r="W227" s="33" t="str">
        <f t="shared" si="39"/>
        <v/>
      </c>
    </row>
    <row r="228" spans="3:23">
      <c r="C228" s="30"/>
      <c r="I228" s="31"/>
      <c r="J228" s="16"/>
      <c r="N228" s="6" t="str">
        <f t="shared" si="30"/>
        <v/>
      </c>
      <c r="O228" s="4" t="str">
        <f t="shared" si="31"/>
        <v/>
      </c>
      <c r="P228" s="4" t="str">
        <f t="shared" si="32"/>
        <v/>
      </c>
      <c r="Q228" t="str">
        <f t="shared" si="33"/>
        <v/>
      </c>
      <c r="R228" t="str">
        <f t="shared" si="34"/>
        <v/>
      </c>
      <c r="S228" s="1" t="str">
        <f t="shared" si="35"/>
        <v>weekly</v>
      </c>
      <c r="T228" s="4" t="str">
        <f t="shared" si="36"/>
        <v/>
      </c>
      <c r="U228" s="10" t="str">
        <f t="shared" si="37"/>
        <v/>
      </c>
      <c r="V228" s="10" t="str">
        <f t="shared" si="38"/>
        <v/>
      </c>
      <c r="W228" s="33" t="str">
        <f t="shared" si="39"/>
        <v/>
      </c>
    </row>
    <row r="229" spans="3:23">
      <c r="C229" s="30"/>
      <c r="I229" s="31"/>
      <c r="J229" s="16"/>
      <c r="N229" s="6" t="str">
        <f t="shared" si="30"/>
        <v/>
      </c>
      <c r="O229" s="4" t="str">
        <f t="shared" si="31"/>
        <v/>
      </c>
      <c r="P229" s="4" t="str">
        <f t="shared" si="32"/>
        <v/>
      </c>
      <c r="Q229" t="str">
        <f t="shared" si="33"/>
        <v/>
      </c>
      <c r="R229" t="str">
        <f t="shared" si="34"/>
        <v/>
      </c>
      <c r="S229" s="1" t="str">
        <f t="shared" si="35"/>
        <v>weekly</v>
      </c>
      <c r="T229" s="4" t="str">
        <f t="shared" si="36"/>
        <v/>
      </c>
      <c r="U229" s="10" t="str">
        <f t="shared" si="37"/>
        <v/>
      </c>
      <c r="V229" s="10" t="str">
        <f t="shared" si="38"/>
        <v/>
      </c>
      <c r="W229" s="33" t="str">
        <f t="shared" si="39"/>
        <v/>
      </c>
    </row>
    <row r="230" spans="3:23">
      <c r="C230" s="30"/>
      <c r="I230" s="31"/>
      <c r="J230" s="16"/>
      <c r="N230" s="6" t="str">
        <f t="shared" si="30"/>
        <v/>
      </c>
      <c r="O230" s="4" t="str">
        <f t="shared" si="31"/>
        <v/>
      </c>
      <c r="P230" s="4" t="str">
        <f t="shared" si="32"/>
        <v/>
      </c>
      <c r="Q230" t="str">
        <f t="shared" si="33"/>
        <v/>
      </c>
      <c r="R230" t="str">
        <f t="shared" si="34"/>
        <v/>
      </c>
      <c r="S230" s="1" t="str">
        <f t="shared" si="35"/>
        <v>weekly</v>
      </c>
      <c r="T230" s="4" t="str">
        <f t="shared" si="36"/>
        <v/>
      </c>
      <c r="U230" s="10" t="str">
        <f t="shared" si="37"/>
        <v/>
      </c>
      <c r="V230" s="10" t="str">
        <f t="shared" si="38"/>
        <v/>
      </c>
      <c r="W230" s="33" t="str">
        <f t="shared" si="39"/>
        <v/>
      </c>
    </row>
    <row r="231" spans="3:23">
      <c r="C231" s="30"/>
      <c r="I231" s="31"/>
      <c r="J231" s="16"/>
      <c r="N231" s="6" t="str">
        <f t="shared" si="30"/>
        <v/>
      </c>
      <c r="O231" s="4" t="str">
        <f t="shared" si="31"/>
        <v/>
      </c>
      <c r="P231" s="4" t="str">
        <f t="shared" si="32"/>
        <v/>
      </c>
      <c r="Q231" t="str">
        <f t="shared" si="33"/>
        <v/>
      </c>
      <c r="R231" t="str">
        <f t="shared" si="34"/>
        <v/>
      </c>
      <c r="S231" s="1" t="str">
        <f t="shared" si="35"/>
        <v>weekly</v>
      </c>
      <c r="T231" s="4" t="str">
        <f t="shared" si="36"/>
        <v/>
      </c>
      <c r="U231" s="10" t="str">
        <f t="shared" si="37"/>
        <v/>
      </c>
      <c r="V231" s="10" t="str">
        <f t="shared" si="38"/>
        <v/>
      </c>
      <c r="W231" s="33" t="str">
        <f t="shared" si="39"/>
        <v/>
      </c>
    </row>
    <row r="232" spans="3:23">
      <c r="C232" s="30"/>
      <c r="I232" s="31"/>
      <c r="J232" s="16"/>
      <c r="N232" s="6" t="str">
        <f t="shared" si="30"/>
        <v/>
      </c>
      <c r="O232" s="4" t="str">
        <f t="shared" si="31"/>
        <v/>
      </c>
      <c r="P232" s="4" t="str">
        <f t="shared" si="32"/>
        <v/>
      </c>
      <c r="Q232" t="str">
        <f t="shared" si="33"/>
        <v/>
      </c>
      <c r="R232" t="str">
        <f t="shared" si="34"/>
        <v/>
      </c>
      <c r="S232" s="1" t="str">
        <f t="shared" si="35"/>
        <v>weekly</v>
      </c>
      <c r="T232" s="4" t="str">
        <f t="shared" si="36"/>
        <v/>
      </c>
      <c r="U232" s="10" t="str">
        <f t="shared" si="37"/>
        <v/>
      </c>
      <c r="V232" s="10" t="str">
        <f t="shared" si="38"/>
        <v/>
      </c>
      <c r="W232" s="33" t="str">
        <f t="shared" si="39"/>
        <v/>
      </c>
    </row>
    <row r="233" spans="3:23">
      <c r="C233" s="30"/>
      <c r="I233" s="31"/>
      <c r="J233" s="16"/>
      <c r="N233" s="6" t="str">
        <f t="shared" si="30"/>
        <v/>
      </c>
      <c r="O233" s="4" t="str">
        <f t="shared" si="31"/>
        <v/>
      </c>
      <c r="P233" s="4" t="str">
        <f t="shared" si="32"/>
        <v/>
      </c>
      <c r="Q233" t="str">
        <f t="shared" si="33"/>
        <v/>
      </c>
      <c r="R233" t="str">
        <f t="shared" si="34"/>
        <v/>
      </c>
      <c r="S233" s="1" t="str">
        <f t="shared" si="35"/>
        <v>weekly</v>
      </c>
      <c r="T233" s="4" t="str">
        <f t="shared" si="36"/>
        <v/>
      </c>
      <c r="U233" s="10" t="str">
        <f t="shared" si="37"/>
        <v/>
      </c>
      <c r="V233" s="10" t="str">
        <f t="shared" si="38"/>
        <v/>
      </c>
      <c r="W233" s="33" t="str">
        <f t="shared" si="39"/>
        <v/>
      </c>
    </row>
    <row r="234" spans="3:23">
      <c r="C234" s="30"/>
      <c r="I234" s="31"/>
      <c r="J234" s="16"/>
      <c r="N234" s="6" t="str">
        <f t="shared" si="30"/>
        <v/>
      </c>
      <c r="O234" s="4" t="str">
        <f t="shared" si="31"/>
        <v/>
      </c>
      <c r="P234" s="4" t="str">
        <f t="shared" si="32"/>
        <v/>
      </c>
      <c r="Q234" t="str">
        <f t="shared" si="33"/>
        <v/>
      </c>
      <c r="R234" t="str">
        <f t="shared" si="34"/>
        <v/>
      </c>
      <c r="S234" s="1" t="str">
        <f t="shared" si="35"/>
        <v>weekly</v>
      </c>
      <c r="T234" s="4" t="str">
        <f t="shared" si="36"/>
        <v/>
      </c>
      <c r="U234" s="10" t="str">
        <f t="shared" si="37"/>
        <v/>
      </c>
      <c r="V234" s="10" t="str">
        <f t="shared" si="38"/>
        <v/>
      </c>
      <c r="W234" s="33" t="str">
        <f t="shared" si="39"/>
        <v/>
      </c>
    </row>
    <row r="235" spans="3:23">
      <c r="C235" s="30"/>
      <c r="I235" s="31"/>
      <c r="J235" s="16"/>
      <c r="N235" s="6" t="str">
        <f t="shared" si="30"/>
        <v/>
      </c>
      <c r="O235" s="4" t="str">
        <f t="shared" si="31"/>
        <v/>
      </c>
      <c r="P235" s="4" t="str">
        <f t="shared" si="32"/>
        <v/>
      </c>
      <c r="Q235" t="str">
        <f t="shared" si="33"/>
        <v/>
      </c>
      <c r="R235" t="str">
        <f t="shared" si="34"/>
        <v/>
      </c>
      <c r="S235" s="1" t="str">
        <f t="shared" si="35"/>
        <v>weekly</v>
      </c>
      <c r="T235" s="4" t="str">
        <f t="shared" si="36"/>
        <v/>
      </c>
      <c r="U235" s="10" t="str">
        <f t="shared" si="37"/>
        <v/>
      </c>
      <c r="V235" s="10" t="str">
        <f t="shared" si="38"/>
        <v/>
      </c>
      <c r="W235" s="33" t="str">
        <f t="shared" si="39"/>
        <v/>
      </c>
    </row>
    <row r="236" spans="3:23">
      <c r="C236" s="30"/>
      <c r="I236" s="31"/>
      <c r="J236" s="16"/>
      <c r="N236" s="6" t="str">
        <f t="shared" si="30"/>
        <v/>
      </c>
      <c r="O236" s="4" t="str">
        <f t="shared" si="31"/>
        <v/>
      </c>
      <c r="P236" s="4" t="str">
        <f t="shared" si="32"/>
        <v/>
      </c>
      <c r="Q236" t="str">
        <f t="shared" si="33"/>
        <v/>
      </c>
      <c r="R236" t="str">
        <f t="shared" si="34"/>
        <v/>
      </c>
      <c r="S236" s="1" t="str">
        <f t="shared" si="35"/>
        <v>weekly</v>
      </c>
      <c r="T236" s="4" t="str">
        <f t="shared" si="36"/>
        <v/>
      </c>
      <c r="U236" s="10" t="str">
        <f t="shared" si="37"/>
        <v/>
      </c>
      <c r="V236" s="10" t="str">
        <f t="shared" si="38"/>
        <v/>
      </c>
      <c r="W236" s="33" t="str">
        <f t="shared" si="39"/>
        <v/>
      </c>
    </row>
    <row r="237" spans="3:23">
      <c r="C237" s="30"/>
      <c r="I237" s="31"/>
      <c r="J237" s="16"/>
      <c r="N237" s="6" t="str">
        <f t="shared" si="30"/>
        <v/>
      </c>
      <c r="O237" s="4" t="str">
        <f t="shared" si="31"/>
        <v/>
      </c>
      <c r="P237" s="4" t="str">
        <f t="shared" si="32"/>
        <v/>
      </c>
      <c r="Q237" t="str">
        <f t="shared" si="33"/>
        <v/>
      </c>
      <c r="R237" t="str">
        <f t="shared" si="34"/>
        <v/>
      </c>
      <c r="S237" s="1" t="str">
        <f t="shared" si="35"/>
        <v>weekly</v>
      </c>
      <c r="T237" s="4" t="str">
        <f t="shared" si="36"/>
        <v/>
      </c>
      <c r="U237" s="10" t="str">
        <f t="shared" si="37"/>
        <v/>
      </c>
      <c r="V237" s="10" t="str">
        <f t="shared" si="38"/>
        <v/>
      </c>
      <c r="W237" s="33" t="str">
        <f t="shared" si="39"/>
        <v/>
      </c>
    </row>
    <row r="238" spans="3:23">
      <c r="C238" s="30"/>
      <c r="I238" s="31"/>
      <c r="J238" s="16"/>
      <c r="N238" s="6" t="str">
        <f t="shared" si="30"/>
        <v/>
      </c>
      <c r="O238" s="4" t="str">
        <f t="shared" si="31"/>
        <v/>
      </c>
      <c r="P238" s="4" t="str">
        <f t="shared" si="32"/>
        <v/>
      </c>
      <c r="Q238" t="str">
        <f t="shared" si="33"/>
        <v/>
      </c>
      <c r="R238" t="str">
        <f t="shared" si="34"/>
        <v/>
      </c>
      <c r="S238" s="1" t="str">
        <f t="shared" si="35"/>
        <v>weekly</v>
      </c>
      <c r="T238" s="4" t="str">
        <f t="shared" si="36"/>
        <v/>
      </c>
      <c r="U238" s="10" t="str">
        <f t="shared" si="37"/>
        <v/>
      </c>
      <c r="V238" s="10" t="str">
        <f t="shared" si="38"/>
        <v/>
      </c>
      <c r="W238" s="33" t="str">
        <f t="shared" si="39"/>
        <v/>
      </c>
    </row>
    <row r="239" spans="3:23">
      <c r="C239" s="30"/>
      <c r="I239" s="31"/>
      <c r="J239" s="16"/>
      <c r="N239" s="6" t="str">
        <f t="shared" si="30"/>
        <v/>
      </c>
      <c r="O239" s="4" t="str">
        <f t="shared" si="31"/>
        <v/>
      </c>
      <c r="P239" s="4" t="str">
        <f t="shared" si="32"/>
        <v/>
      </c>
      <c r="Q239" t="str">
        <f t="shared" si="33"/>
        <v/>
      </c>
      <c r="R239" t="str">
        <f t="shared" si="34"/>
        <v/>
      </c>
      <c r="S239" s="1" t="str">
        <f t="shared" si="35"/>
        <v>weekly</v>
      </c>
      <c r="T239" s="4" t="str">
        <f t="shared" si="36"/>
        <v/>
      </c>
      <c r="U239" s="10" t="str">
        <f t="shared" si="37"/>
        <v/>
      </c>
      <c r="V239" s="10" t="str">
        <f t="shared" si="38"/>
        <v/>
      </c>
      <c r="W239" s="33" t="str">
        <f t="shared" si="39"/>
        <v/>
      </c>
    </row>
    <row r="240" spans="3:23">
      <c r="C240" s="30"/>
      <c r="I240" s="31"/>
      <c r="J240" s="16"/>
      <c r="N240" s="6" t="str">
        <f t="shared" si="30"/>
        <v/>
      </c>
      <c r="O240" s="4" t="str">
        <f t="shared" si="31"/>
        <v/>
      </c>
      <c r="P240" s="4" t="str">
        <f t="shared" si="32"/>
        <v/>
      </c>
      <c r="Q240" t="str">
        <f t="shared" si="33"/>
        <v/>
      </c>
      <c r="R240" t="str">
        <f t="shared" si="34"/>
        <v/>
      </c>
      <c r="S240" s="1" t="str">
        <f t="shared" si="35"/>
        <v>weekly</v>
      </c>
      <c r="T240" s="4" t="str">
        <f t="shared" si="36"/>
        <v/>
      </c>
      <c r="U240" s="10" t="str">
        <f t="shared" si="37"/>
        <v/>
      </c>
      <c r="V240" s="10" t="str">
        <f t="shared" si="38"/>
        <v/>
      </c>
      <c r="W240" s="33" t="str">
        <f t="shared" si="39"/>
        <v/>
      </c>
    </row>
    <row r="241" spans="3:23">
      <c r="C241" s="30"/>
      <c r="I241" s="31"/>
      <c r="J241" s="16"/>
      <c r="N241" s="6" t="str">
        <f t="shared" si="30"/>
        <v/>
      </c>
      <c r="O241" s="4" t="str">
        <f t="shared" si="31"/>
        <v/>
      </c>
      <c r="P241" s="4" t="str">
        <f t="shared" si="32"/>
        <v/>
      </c>
      <c r="Q241" t="str">
        <f t="shared" si="33"/>
        <v/>
      </c>
      <c r="R241" t="str">
        <f t="shared" si="34"/>
        <v/>
      </c>
      <c r="S241" s="1" t="str">
        <f t="shared" si="35"/>
        <v>weekly</v>
      </c>
      <c r="T241" s="4" t="str">
        <f t="shared" si="36"/>
        <v/>
      </c>
      <c r="U241" s="10" t="str">
        <f t="shared" si="37"/>
        <v/>
      </c>
      <c r="V241" s="10" t="str">
        <f t="shared" si="38"/>
        <v/>
      </c>
      <c r="W241" s="33" t="str">
        <f t="shared" si="39"/>
        <v/>
      </c>
    </row>
    <row r="242" spans="3:23">
      <c r="C242" s="30"/>
      <c r="I242" s="31"/>
      <c r="J242" s="16"/>
      <c r="N242" s="6" t="str">
        <f t="shared" si="30"/>
        <v/>
      </c>
      <c r="O242" s="4" t="str">
        <f t="shared" si="31"/>
        <v/>
      </c>
      <c r="P242" s="4" t="str">
        <f t="shared" si="32"/>
        <v/>
      </c>
      <c r="Q242" t="str">
        <f t="shared" si="33"/>
        <v/>
      </c>
      <c r="R242" t="str">
        <f t="shared" si="34"/>
        <v/>
      </c>
      <c r="S242" s="1" t="str">
        <f t="shared" si="35"/>
        <v>weekly</v>
      </c>
      <c r="T242" s="4" t="str">
        <f t="shared" si="36"/>
        <v/>
      </c>
      <c r="U242" s="10" t="str">
        <f t="shared" si="37"/>
        <v/>
      </c>
      <c r="V242" s="10" t="str">
        <f t="shared" si="38"/>
        <v/>
      </c>
      <c r="W242" s="33" t="str">
        <f t="shared" si="39"/>
        <v/>
      </c>
    </row>
    <row r="243" spans="3:23">
      <c r="C243" s="30"/>
      <c r="I243" s="31"/>
      <c r="J243" s="16"/>
      <c r="N243" s="6" t="str">
        <f t="shared" si="30"/>
        <v/>
      </c>
      <c r="O243" s="4" t="str">
        <f t="shared" si="31"/>
        <v/>
      </c>
      <c r="P243" s="4" t="str">
        <f t="shared" si="32"/>
        <v/>
      </c>
      <c r="Q243" t="str">
        <f t="shared" si="33"/>
        <v/>
      </c>
      <c r="R243" t="str">
        <f t="shared" si="34"/>
        <v/>
      </c>
      <c r="S243" s="1" t="str">
        <f t="shared" si="35"/>
        <v>weekly</v>
      </c>
      <c r="T243" s="4" t="str">
        <f t="shared" si="36"/>
        <v/>
      </c>
      <c r="U243" s="10" t="str">
        <f t="shared" si="37"/>
        <v/>
      </c>
      <c r="V243" s="10" t="str">
        <f t="shared" si="38"/>
        <v/>
      </c>
      <c r="W243" s="33" t="str">
        <f t="shared" si="39"/>
        <v/>
      </c>
    </row>
    <row r="244" spans="3:23">
      <c r="C244" s="48"/>
      <c r="D244" s="41"/>
      <c r="E244" s="41"/>
      <c r="F244" s="42"/>
      <c r="G244" s="42"/>
      <c r="H244" s="41"/>
      <c r="I244" s="43"/>
      <c r="J244" s="38"/>
      <c r="K244" s="22"/>
      <c r="L244" s="22"/>
      <c r="M244" s="23"/>
      <c r="N244" s="6" t="str">
        <f t="shared" si="30"/>
        <v/>
      </c>
      <c r="O244" s="4" t="str">
        <f t="shared" si="31"/>
        <v/>
      </c>
      <c r="P244" s="4" t="str">
        <f t="shared" si="32"/>
        <v/>
      </c>
      <c r="Q244" t="str">
        <f t="shared" si="33"/>
        <v/>
      </c>
      <c r="R244" t="str">
        <f t="shared" si="34"/>
        <v/>
      </c>
      <c r="S244" s="1" t="str">
        <f t="shared" si="35"/>
        <v>weekly</v>
      </c>
      <c r="T244" s="4" t="str">
        <f t="shared" si="36"/>
        <v/>
      </c>
      <c r="U244" s="10" t="str">
        <f t="shared" si="37"/>
        <v/>
      </c>
      <c r="V244" s="10" t="str">
        <f t="shared" si="38"/>
        <v/>
      </c>
      <c r="W244" s="33" t="str">
        <f t="shared" si="39"/>
        <v/>
      </c>
    </row>
    <row r="245" spans="3:23">
      <c r="C245" s="30"/>
      <c r="I245" s="31"/>
      <c r="J245" s="16"/>
      <c r="N245" s="6" t="str">
        <f t="shared" si="30"/>
        <v/>
      </c>
      <c r="O245" s="4" t="str">
        <f t="shared" si="31"/>
        <v/>
      </c>
      <c r="P245" s="4" t="str">
        <f t="shared" si="32"/>
        <v/>
      </c>
      <c r="Q245" t="str">
        <f t="shared" si="33"/>
        <v/>
      </c>
      <c r="R245" t="str">
        <f t="shared" si="34"/>
        <v/>
      </c>
      <c r="S245" s="1" t="str">
        <f t="shared" si="35"/>
        <v>weekly</v>
      </c>
      <c r="T245" s="4" t="str">
        <f t="shared" si="36"/>
        <v/>
      </c>
      <c r="U245" s="10" t="str">
        <f t="shared" si="37"/>
        <v/>
      </c>
      <c r="V245" s="10" t="str">
        <f t="shared" si="38"/>
        <v/>
      </c>
      <c r="W245" s="33" t="str">
        <f t="shared" si="39"/>
        <v/>
      </c>
    </row>
    <row r="246" spans="3:23">
      <c r="C246" s="30"/>
      <c r="I246" s="31"/>
      <c r="J246" s="16"/>
      <c r="N246" s="6" t="str">
        <f t="shared" si="30"/>
        <v/>
      </c>
      <c r="O246" s="4" t="str">
        <f t="shared" si="31"/>
        <v/>
      </c>
      <c r="P246" s="4" t="str">
        <f t="shared" si="32"/>
        <v/>
      </c>
      <c r="Q246" t="str">
        <f t="shared" si="33"/>
        <v/>
      </c>
      <c r="R246" t="str">
        <f t="shared" si="34"/>
        <v/>
      </c>
      <c r="S246" s="1" t="str">
        <f t="shared" si="35"/>
        <v>weekly</v>
      </c>
      <c r="T246" s="4" t="str">
        <f t="shared" si="36"/>
        <v/>
      </c>
      <c r="U246" s="10" t="str">
        <f t="shared" si="37"/>
        <v/>
      </c>
      <c r="V246" s="10" t="str">
        <f t="shared" si="38"/>
        <v/>
      </c>
      <c r="W246" s="33" t="str">
        <f t="shared" si="39"/>
        <v/>
      </c>
    </row>
    <row r="247" spans="3:23">
      <c r="C247" s="30"/>
      <c r="I247" s="31"/>
      <c r="J247" s="16"/>
      <c r="N247" s="6" t="str">
        <f t="shared" si="30"/>
        <v/>
      </c>
      <c r="O247" s="4" t="str">
        <f t="shared" si="31"/>
        <v/>
      </c>
      <c r="P247" s="4" t="str">
        <f t="shared" si="32"/>
        <v/>
      </c>
      <c r="Q247" t="str">
        <f t="shared" si="33"/>
        <v/>
      </c>
      <c r="R247" t="str">
        <f t="shared" si="34"/>
        <v/>
      </c>
      <c r="S247" s="1" t="str">
        <f t="shared" si="35"/>
        <v>weekly</v>
      </c>
      <c r="T247" s="4" t="str">
        <f t="shared" si="36"/>
        <v/>
      </c>
      <c r="U247" s="10" t="str">
        <f t="shared" si="37"/>
        <v/>
      </c>
      <c r="V247" s="10" t="str">
        <f t="shared" si="38"/>
        <v/>
      </c>
      <c r="W247" s="33" t="str">
        <f t="shared" si="39"/>
        <v/>
      </c>
    </row>
    <row r="248" spans="3:23">
      <c r="C248" s="30"/>
      <c r="I248" s="31"/>
      <c r="J248" s="16"/>
      <c r="N248" s="6" t="str">
        <f t="shared" si="30"/>
        <v/>
      </c>
      <c r="O248" s="4" t="str">
        <f t="shared" si="31"/>
        <v/>
      </c>
      <c r="P248" s="4" t="str">
        <f t="shared" si="32"/>
        <v/>
      </c>
      <c r="Q248" t="str">
        <f t="shared" si="33"/>
        <v/>
      </c>
      <c r="R248" t="str">
        <f t="shared" si="34"/>
        <v/>
      </c>
      <c r="S248" s="1" t="str">
        <f t="shared" si="35"/>
        <v>weekly</v>
      </c>
      <c r="T248" s="4" t="str">
        <f t="shared" si="36"/>
        <v/>
      </c>
      <c r="U248" s="10" t="str">
        <f t="shared" si="37"/>
        <v/>
      </c>
      <c r="V248" s="10" t="str">
        <f t="shared" si="38"/>
        <v/>
      </c>
      <c r="W248" s="33" t="str">
        <f t="shared" si="39"/>
        <v/>
      </c>
    </row>
    <row r="249" spans="3:23">
      <c r="C249" s="30"/>
      <c r="I249" s="31"/>
      <c r="J249" s="16"/>
      <c r="N249" s="6" t="str">
        <f t="shared" si="30"/>
        <v/>
      </c>
      <c r="O249" s="4" t="str">
        <f t="shared" si="31"/>
        <v/>
      </c>
      <c r="P249" s="4" t="str">
        <f t="shared" si="32"/>
        <v/>
      </c>
      <c r="Q249" t="str">
        <f t="shared" si="33"/>
        <v/>
      </c>
      <c r="R249" t="str">
        <f t="shared" si="34"/>
        <v/>
      </c>
      <c r="S249" s="1" t="str">
        <f t="shared" si="35"/>
        <v>weekly</v>
      </c>
      <c r="T249" s="4" t="str">
        <f t="shared" si="36"/>
        <v/>
      </c>
      <c r="U249" s="10" t="str">
        <f t="shared" si="37"/>
        <v/>
      </c>
      <c r="V249" s="10" t="str">
        <f t="shared" si="38"/>
        <v/>
      </c>
      <c r="W249" s="33" t="str">
        <f t="shared" si="39"/>
        <v/>
      </c>
    </row>
    <row r="250" spans="3:23">
      <c r="C250" s="30"/>
      <c r="I250" s="31"/>
      <c r="J250" s="16"/>
      <c r="N250" s="6" t="str">
        <f t="shared" si="30"/>
        <v/>
      </c>
      <c r="O250" s="4" t="str">
        <f t="shared" si="31"/>
        <v/>
      </c>
      <c r="P250" s="4" t="str">
        <f t="shared" si="32"/>
        <v/>
      </c>
      <c r="Q250" t="str">
        <f t="shared" si="33"/>
        <v/>
      </c>
      <c r="R250" t="str">
        <f t="shared" si="34"/>
        <v/>
      </c>
      <c r="S250" s="1" t="str">
        <f t="shared" si="35"/>
        <v>weekly</v>
      </c>
      <c r="T250" s="4" t="str">
        <f t="shared" si="36"/>
        <v/>
      </c>
      <c r="U250" s="10" t="str">
        <f t="shared" si="37"/>
        <v/>
      </c>
      <c r="V250" s="10" t="str">
        <f t="shared" si="38"/>
        <v/>
      </c>
      <c r="W250" s="33" t="str">
        <f t="shared" si="39"/>
        <v/>
      </c>
    </row>
    <row r="251" spans="3:23">
      <c r="C251" s="30"/>
      <c r="I251" s="31"/>
      <c r="J251" s="16"/>
      <c r="N251" s="6" t="str">
        <f t="shared" si="30"/>
        <v/>
      </c>
      <c r="O251" s="4" t="str">
        <f t="shared" si="31"/>
        <v/>
      </c>
      <c r="P251" s="4" t="str">
        <f t="shared" si="32"/>
        <v/>
      </c>
      <c r="Q251" t="str">
        <f t="shared" si="33"/>
        <v/>
      </c>
      <c r="R251" t="str">
        <f t="shared" si="34"/>
        <v/>
      </c>
      <c r="S251" s="1" t="str">
        <f t="shared" si="35"/>
        <v>weekly</v>
      </c>
      <c r="T251" s="4" t="str">
        <f t="shared" si="36"/>
        <v/>
      </c>
      <c r="U251" s="10" t="str">
        <f t="shared" si="37"/>
        <v/>
      </c>
      <c r="V251" s="10" t="str">
        <f t="shared" si="38"/>
        <v/>
      </c>
      <c r="W251" s="33" t="str">
        <f t="shared" si="39"/>
        <v/>
      </c>
    </row>
    <row r="252" spans="3:23">
      <c r="C252" s="30"/>
      <c r="I252" s="31"/>
      <c r="J252" s="16"/>
      <c r="N252" s="6" t="str">
        <f t="shared" si="30"/>
        <v/>
      </c>
      <c r="O252" s="4" t="str">
        <f t="shared" si="31"/>
        <v/>
      </c>
      <c r="P252" s="4" t="str">
        <f t="shared" si="32"/>
        <v/>
      </c>
      <c r="Q252" t="str">
        <f t="shared" si="33"/>
        <v/>
      </c>
      <c r="R252" t="str">
        <f t="shared" si="34"/>
        <v/>
      </c>
      <c r="S252" s="1" t="str">
        <f t="shared" si="35"/>
        <v>weekly</v>
      </c>
      <c r="T252" s="4" t="str">
        <f t="shared" si="36"/>
        <v/>
      </c>
      <c r="U252" s="10" t="str">
        <f t="shared" si="37"/>
        <v/>
      </c>
      <c r="V252" s="10" t="str">
        <f t="shared" si="38"/>
        <v/>
      </c>
      <c r="W252" s="33" t="str">
        <f t="shared" si="39"/>
        <v/>
      </c>
    </row>
    <row r="253" spans="3:23">
      <c r="C253" s="30"/>
      <c r="I253" s="31"/>
      <c r="J253" s="16"/>
      <c r="N253" s="6" t="str">
        <f t="shared" si="30"/>
        <v/>
      </c>
      <c r="O253" s="4" t="str">
        <f t="shared" si="31"/>
        <v/>
      </c>
      <c r="P253" s="4" t="str">
        <f t="shared" si="32"/>
        <v/>
      </c>
      <c r="Q253" t="str">
        <f t="shared" si="33"/>
        <v/>
      </c>
      <c r="R253" t="str">
        <f t="shared" si="34"/>
        <v/>
      </c>
      <c r="S253" s="1" t="str">
        <f t="shared" si="35"/>
        <v>weekly</v>
      </c>
      <c r="T253" s="4" t="str">
        <f t="shared" si="36"/>
        <v/>
      </c>
      <c r="U253" s="10" t="str">
        <f t="shared" si="37"/>
        <v/>
      </c>
      <c r="V253" s="10" t="str">
        <f t="shared" si="38"/>
        <v/>
      </c>
      <c r="W253" s="33" t="str">
        <f t="shared" si="39"/>
        <v/>
      </c>
    </row>
    <row r="254" spans="3:23">
      <c r="C254" s="30"/>
      <c r="I254" s="31"/>
      <c r="J254" s="16"/>
      <c r="N254" s="6" t="str">
        <f t="shared" si="30"/>
        <v/>
      </c>
      <c r="O254" s="4" t="str">
        <f t="shared" si="31"/>
        <v/>
      </c>
      <c r="P254" s="4" t="str">
        <f t="shared" si="32"/>
        <v/>
      </c>
      <c r="Q254" t="str">
        <f t="shared" si="33"/>
        <v/>
      </c>
      <c r="R254" t="str">
        <f t="shared" si="34"/>
        <v/>
      </c>
      <c r="S254" s="1" t="str">
        <f t="shared" si="35"/>
        <v>weekly</v>
      </c>
      <c r="T254" s="4" t="str">
        <f t="shared" si="36"/>
        <v/>
      </c>
      <c r="U254" s="10" t="str">
        <f t="shared" si="37"/>
        <v/>
      </c>
      <c r="V254" s="10" t="str">
        <f t="shared" si="38"/>
        <v/>
      </c>
      <c r="W254" s="33" t="str">
        <f t="shared" si="39"/>
        <v/>
      </c>
    </row>
    <row r="255" spans="3:23">
      <c r="C255" s="30"/>
      <c r="I255" s="31"/>
      <c r="J255" s="16"/>
      <c r="N255" s="6" t="str">
        <f t="shared" si="30"/>
        <v/>
      </c>
      <c r="O255" s="4" t="str">
        <f t="shared" si="31"/>
        <v/>
      </c>
      <c r="P255" s="4" t="str">
        <f t="shared" si="32"/>
        <v/>
      </c>
      <c r="Q255" t="str">
        <f t="shared" si="33"/>
        <v/>
      </c>
      <c r="R255" t="str">
        <f t="shared" si="34"/>
        <v/>
      </c>
      <c r="S255" s="1" t="str">
        <f t="shared" si="35"/>
        <v>weekly</v>
      </c>
      <c r="T255" s="4" t="str">
        <f t="shared" si="36"/>
        <v/>
      </c>
      <c r="U255" s="10" t="str">
        <f t="shared" si="37"/>
        <v/>
      </c>
      <c r="V255" s="10" t="str">
        <f t="shared" si="38"/>
        <v/>
      </c>
      <c r="W255" s="33" t="str">
        <f t="shared" si="39"/>
        <v/>
      </c>
    </row>
    <row r="256" spans="3:23">
      <c r="C256" s="30"/>
      <c r="I256" s="31"/>
      <c r="J256" s="16"/>
      <c r="N256" s="6" t="str">
        <f t="shared" si="30"/>
        <v/>
      </c>
      <c r="O256" s="4" t="str">
        <f t="shared" si="31"/>
        <v/>
      </c>
      <c r="P256" s="4" t="str">
        <f t="shared" si="32"/>
        <v/>
      </c>
      <c r="Q256" t="str">
        <f t="shared" si="33"/>
        <v/>
      </c>
      <c r="R256" t="str">
        <f t="shared" si="34"/>
        <v/>
      </c>
      <c r="S256" s="1" t="str">
        <f t="shared" si="35"/>
        <v>weekly</v>
      </c>
      <c r="T256" s="4" t="str">
        <f t="shared" si="36"/>
        <v/>
      </c>
      <c r="U256" s="10" t="str">
        <f t="shared" si="37"/>
        <v/>
      </c>
      <c r="V256" s="10" t="str">
        <f t="shared" si="38"/>
        <v/>
      </c>
      <c r="W256" s="33" t="str">
        <f t="shared" si="39"/>
        <v/>
      </c>
    </row>
    <row r="257" spans="3:23">
      <c r="C257" s="30"/>
      <c r="I257" s="31"/>
      <c r="J257" s="16"/>
      <c r="N257" s="6" t="str">
        <f t="shared" si="30"/>
        <v/>
      </c>
      <c r="O257" s="4" t="str">
        <f t="shared" si="31"/>
        <v/>
      </c>
      <c r="P257" s="4" t="str">
        <f t="shared" si="32"/>
        <v/>
      </c>
      <c r="Q257" t="str">
        <f t="shared" si="33"/>
        <v/>
      </c>
      <c r="R257" t="str">
        <f t="shared" si="34"/>
        <v/>
      </c>
      <c r="S257" s="1" t="str">
        <f t="shared" si="35"/>
        <v>weekly</v>
      </c>
      <c r="T257" s="4" t="str">
        <f t="shared" si="36"/>
        <v/>
      </c>
      <c r="U257" s="10" t="str">
        <f t="shared" si="37"/>
        <v/>
      </c>
      <c r="V257" s="10" t="str">
        <f t="shared" si="38"/>
        <v/>
      </c>
      <c r="W257" s="33" t="str">
        <f t="shared" si="39"/>
        <v/>
      </c>
    </row>
    <row r="258" spans="3:23">
      <c r="C258" s="30"/>
      <c r="I258" s="31"/>
      <c r="J258" s="16"/>
      <c r="N258" s="6" t="str">
        <f t="shared" ref="N258:N321" si="40">IF(D258="","",TIMEVALUE(D258))</f>
        <v/>
      </c>
      <c r="O258" s="4" t="str">
        <f t="shared" ref="O258:O321" si="41">IF(D258="","",HOUR(D258)*60 + MINUTE(D258) + SECOND(D258)/60)</f>
        <v/>
      </c>
      <c r="P258" s="4" t="str">
        <f t="shared" ref="P258:P321" si="42">IF(O258="","",O258/E258)</f>
        <v/>
      </c>
      <c r="Q258" t="str">
        <f t="shared" ref="Q258:Q321" si="43">IF(O258="", "", IF(MOD(P258,1)*60&gt;=59.5, TEXT(INT(P258)+1, "0") &amp; ":00", TEXT(INT(P258), "0") &amp; ":" &amp; TEXT(ROUND(MOD(P258,1)*60, 0), "00")))</f>
        <v/>
      </c>
      <c r="R258" t="str">
        <f t="shared" ref="R258:R321" si="44">IF(A258&lt;&gt;"",A258,"")</f>
        <v/>
      </c>
      <c r="S258" s="1" t="str">
        <f t="shared" ref="S258:S321" si="45">IFERROR(IF(ISBLANK(C258), S257,INDEX($C$2:$C$365, MATCH(R258,$R$2:$R$365, 0)) - WEEKDAY(INDEX($C$2:$C$365, MATCH(R258,$R$2:$R$365, 0)), 2) + 1), "")</f>
        <v>weekly</v>
      </c>
      <c r="T258" s="4" t="str">
        <f t="shared" ref="T258:T321" si="46">IF(S258="","",IF(S258=S257, "", SUMIFS(E:E,S:S, S258)))</f>
        <v/>
      </c>
      <c r="U258" s="10" t="str">
        <f t="shared" ref="U258:U321" si="47">IF(S258="","",IF(S258=S257, "", SUMIFS(N:N,S:S, S258)))</f>
        <v/>
      </c>
      <c r="V258" s="10" t="str">
        <f t="shared" ref="V258:V321" si="48">IF(S258="","",IF(S258=S257, "", AVERAGEIF(S:S,S258,J:J)))</f>
        <v/>
      </c>
      <c r="W258" s="33" t="str">
        <f t="shared" ref="W258:W321" si="49">IF(S258="","",IF(S258=S257, "", AVERAGEIF(S:S,S258,K:K)))</f>
        <v/>
      </c>
    </row>
    <row r="259" spans="3:23">
      <c r="C259" s="30"/>
      <c r="I259" s="31"/>
      <c r="J259" s="16"/>
      <c r="N259" s="6" t="str">
        <f t="shared" si="40"/>
        <v/>
      </c>
      <c r="O259" s="4" t="str">
        <f t="shared" si="41"/>
        <v/>
      </c>
      <c r="P259" s="4" t="str">
        <f t="shared" si="42"/>
        <v/>
      </c>
      <c r="Q259" t="str">
        <f t="shared" si="43"/>
        <v/>
      </c>
      <c r="R259" t="str">
        <f t="shared" si="44"/>
        <v/>
      </c>
      <c r="S259" s="1" t="str">
        <f t="shared" si="45"/>
        <v>weekly</v>
      </c>
      <c r="T259" s="4" t="str">
        <f t="shared" si="46"/>
        <v/>
      </c>
      <c r="U259" s="10" t="str">
        <f t="shared" si="47"/>
        <v/>
      </c>
      <c r="V259" s="10" t="str">
        <f t="shared" si="48"/>
        <v/>
      </c>
      <c r="W259" s="33" t="str">
        <f t="shared" si="49"/>
        <v/>
      </c>
    </row>
    <row r="260" spans="3:23">
      <c r="C260" s="30"/>
      <c r="I260" s="31"/>
      <c r="J260" s="16"/>
      <c r="N260" s="6" t="str">
        <f t="shared" si="40"/>
        <v/>
      </c>
      <c r="O260" s="4" t="str">
        <f t="shared" si="41"/>
        <v/>
      </c>
      <c r="P260" s="4" t="str">
        <f t="shared" si="42"/>
        <v/>
      </c>
      <c r="Q260" t="str">
        <f t="shared" si="43"/>
        <v/>
      </c>
      <c r="R260" t="str">
        <f t="shared" si="44"/>
        <v/>
      </c>
      <c r="S260" s="1" t="str">
        <f t="shared" si="45"/>
        <v>weekly</v>
      </c>
      <c r="T260" s="4" t="str">
        <f t="shared" si="46"/>
        <v/>
      </c>
      <c r="U260" s="10" t="str">
        <f t="shared" si="47"/>
        <v/>
      </c>
      <c r="V260" s="10" t="str">
        <f t="shared" si="48"/>
        <v/>
      </c>
      <c r="W260" s="33" t="str">
        <f t="shared" si="49"/>
        <v/>
      </c>
    </row>
    <row r="261" spans="3:23">
      <c r="C261" s="30"/>
      <c r="I261" s="31"/>
      <c r="J261" s="16"/>
      <c r="N261" s="6" t="str">
        <f t="shared" si="40"/>
        <v/>
      </c>
      <c r="O261" s="4" t="str">
        <f t="shared" si="41"/>
        <v/>
      </c>
      <c r="P261" s="4" t="str">
        <f t="shared" si="42"/>
        <v/>
      </c>
      <c r="Q261" t="str">
        <f t="shared" si="43"/>
        <v/>
      </c>
      <c r="R261" t="str">
        <f t="shared" si="44"/>
        <v/>
      </c>
      <c r="S261" s="1" t="str">
        <f t="shared" si="45"/>
        <v>weekly</v>
      </c>
      <c r="T261" s="4" t="str">
        <f t="shared" si="46"/>
        <v/>
      </c>
      <c r="U261" s="10" t="str">
        <f t="shared" si="47"/>
        <v/>
      </c>
      <c r="V261" s="10" t="str">
        <f t="shared" si="48"/>
        <v/>
      </c>
      <c r="W261" s="33" t="str">
        <f t="shared" si="49"/>
        <v/>
      </c>
    </row>
    <row r="262" spans="3:23">
      <c r="C262" s="30"/>
      <c r="I262" s="31"/>
      <c r="J262" s="16"/>
      <c r="N262" s="6" t="str">
        <f t="shared" si="40"/>
        <v/>
      </c>
      <c r="O262" s="4" t="str">
        <f t="shared" si="41"/>
        <v/>
      </c>
      <c r="P262" s="4" t="str">
        <f t="shared" si="42"/>
        <v/>
      </c>
      <c r="Q262" t="str">
        <f t="shared" si="43"/>
        <v/>
      </c>
      <c r="R262" t="str">
        <f t="shared" si="44"/>
        <v/>
      </c>
      <c r="S262" s="1" t="str">
        <f t="shared" si="45"/>
        <v>weekly</v>
      </c>
      <c r="T262" s="4" t="str">
        <f t="shared" si="46"/>
        <v/>
      </c>
      <c r="U262" s="10" t="str">
        <f t="shared" si="47"/>
        <v/>
      </c>
      <c r="V262" s="10" t="str">
        <f t="shared" si="48"/>
        <v/>
      </c>
      <c r="W262" s="33" t="str">
        <f t="shared" si="49"/>
        <v/>
      </c>
    </row>
    <row r="263" spans="3:23">
      <c r="C263" s="30"/>
      <c r="I263" s="31"/>
      <c r="J263" s="16"/>
      <c r="N263" s="6" t="str">
        <f t="shared" si="40"/>
        <v/>
      </c>
      <c r="O263" s="4" t="str">
        <f t="shared" si="41"/>
        <v/>
      </c>
      <c r="P263" s="4" t="str">
        <f t="shared" si="42"/>
        <v/>
      </c>
      <c r="Q263" t="str">
        <f t="shared" si="43"/>
        <v/>
      </c>
      <c r="R263" t="str">
        <f t="shared" si="44"/>
        <v/>
      </c>
      <c r="S263" s="1" t="str">
        <f t="shared" si="45"/>
        <v>weekly</v>
      </c>
      <c r="T263" s="4" t="str">
        <f t="shared" si="46"/>
        <v/>
      </c>
      <c r="U263" s="10" t="str">
        <f t="shared" si="47"/>
        <v/>
      </c>
      <c r="V263" s="10" t="str">
        <f t="shared" si="48"/>
        <v/>
      </c>
      <c r="W263" s="33" t="str">
        <f t="shared" si="49"/>
        <v/>
      </c>
    </row>
    <row r="264" spans="3:23">
      <c r="C264" s="30"/>
      <c r="I264" s="31"/>
      <c r="J264" s="16"/>
      <c r="N264" s="6" t="str">
        <f t="shared" si="40"/>
        <v/>
      </c>
      <c r="O264" s="4" t="str">
        <f t="shared" si="41"/>
        <v/>
      </c>
      <c r="P264" s="4" t="str">
        <f t="shared" si="42"/>
        <v/>
      </c>
      <c r="Q264" t="str">
        <f t="shared" si="43"/>
        <v/>
      </c>
      <c r="R264" t="str">
        <f t="shared" si="44"/>
        <v/>
      </c>
      <c r="S264" s="1" t="str">
        <f t="shared" si="45"/>
        <v>weekly</v>
      </c>
      <c r="T264" s="4" t="str">
        <f t="shared" si="46"/>
        <v/>
      </c>
      <c r="U264" s="10" t="str">
        <f t="shared" si="47"/>
        <v/>
      </c>
      <c r="V264" s="10" t="str">
        <f t="shared" si="48"/>
        <v/>
      </c>
      <c r="W264" s="33" t="str">
        <f t="shared" si="49"/>
        <v/>
      </c>
    </row>
    <row r="265" spans="3:23">
      <c r="C265" s="30"/>
      <c r="I265" s="31"/>
      <c r="J265" s="16"/>
      <c r="N265" s="6" t="str">
        <f t="shared" si="40"/>
        <v/>
      </c>
      <c r="O265" s="4" t="str">
        <f t="shared" si="41"/>
        <v/>
      </c>
      <c r="P265" s="4" t="str">
        <f t="shared" si="42"/>
        <v/>
      </c>
      <c r="Q265" t="str">
        <f t="shared" si="43"/>
        <v/>
      </c>
      <c r="R265" t="str">
        <f t="shared" si="44"/>
        <v/>
      </c>
      <c r="S265" s="1" t="str">
        <f t="shared" si="45"/>
        <v>weekly</v>
      </c>
      <c r="T265" s="4" t="str">
        <f t="shared" si="46"/>
        <v/>
      </c>
      <c r="U265" s="10" t="str">
        <f t="shared" si="47"/>
        <v/>
      </c>
      <c r="V265" s="10" t="str">
        <f t="shared" si="48"/>
        <v/>
      </c>
      <c r="W265" s="33" t="str">
        <f t="shared" si="49"/>
        <v/>
      </c>
    </row>
    <row r="266" spans="3:23">
      <c r="C266" s="30"/>
      <c r="I266" s="31"/>
      <c r="J266" s="16"/>
      <c r="N266" s="6" t="str">
        <f t="shared" si="40"/>
        <v/>
      </c>
      <c r="O266" s="4" t="str">
        <f t="shared" si="41"/>
        <v/>
      </c>
      <c r="P266" s="4" t="str">
        <f t="shared" si="42"/>
        <v/>
      </c>
      <c r="Q266" t="str">
        <f t="shared" si="43"/>
        <v/>
      </c>
      <c r="R266" t="str">
        <f t="shared" si="44"/>
        <v/>
      </c>
      <c r="S266" s="1" t="str">
        <f t="shared" si="45"/>
        <v>weekly</v>
      </c>
      <c r="T266" s="4" t="str">
        <f t="shared" si="46"/>
        <v/>
      </c>
      <c r="U266" s="10" t="str">
        <f t="shared" si="47"/>
        <v/>
      </c>
      <c r="V266" s="10" t="str">
        <f t="shared" si="48"/>
        <v/>
      </c>
      <c r="W266" s="33" t="str">
        <f t="shared" si="49"/>
        <v/>
      </c>
    </row>
    <row r="267" spans="3:23">
      <c r="C267" s="30"/>
      <c r="I267" s="31"/>
      <c r="J267" s="16"/>
      <c r="N267" s="6" t="str">
        <f t="shared" si="40"/>
        <v/>
      </c>
      <c r="O267" s="4" t="str">
        <f t="shared" si="41"/>
        <v/>
      </c>
      <c r="P267" s="4" t="str">
        <f t="shared" si="42"/>
        <v/>
      </c>
      <c r="Q267" t="str">
        <f t="shared" si="43"/>
        <v/>
      </c>
      <c r="R267" t="str">
        <f t="shared" si="44"/>
        <v/>
      </c>
      <c r="S267" s="1" t="str">
        <f t="shared" si="45"/>
        <v>weekly</v>
      </c>
      <c r="T267" s="4" t="str">
        <f t="shared" si="46"/>
        <v/>
      </c>
      <c r="U267" s="10" t="str">
        <f t="shared" si="47"/>
        <v/>
      </c>
      <c r="V267" s="10" t="str">
        <f t="shared" si="48"/>
        <v/>
      </c>
      <c r="W267" s="33" t="str">
        <f t="shared" si="49"/>
        <v/>
      </c>
    </row>
    <row r="268" spans="3:23">
      <c r="C268" s="48"/>
      <c r="D268" s="41"/>
      <c r="E268" s="41"/>
      <c r="F268" s="42"/>
      <c r="G268" s="42"/>
      <c r="H268" s="41"/>
      <c r="I268" s="43"/>
      <c r="J268" s="38"/>
      <c r="K268" s="22"/>
      <c r="L268" s="22"/>
      <c r="M268" s="23"/>
      <c r="N268" s="6" t="str">
        <f t="shared" si="40"/>
        <v/>
      </c>
      <c r="O268" s="4" t="str">
        <f t="shared" si="41"/>
        <v/>
      </c>
      <c r="P268" s="4" t="str">
        <f t="shared" si="42"/>
        <v/>
      </c>
      <c r="Q268" t="str">
        <f t="shared" si="43"/>
        <v/>
      </c>
      <c r="R268" t="str">
        <f t="shared" si="44"/>
        <v/>
      </c>
      <c r="S268" s="1" t="str">
        <f t="shared" si="45"/>
        <v>weekly</v>
      </c>
      <c r="T268" s="4" t="str">
        <f t="shared" si="46"/>
        <v/>
      </c>
      <c r="U268" s="10" t="str">
        <f t="shared" si="47"/>
        <v/>
      </c>
      <c r="V268" s="10" t="str">
        <f t="shared" si="48"/>
        <v/>
      </c>
      <c r="W268" s="33" t="str">
        <f t="shared" si="49"/>
        <v/>
      </c>
    </row>
    <row r="269" spans="3:23">
      <c r="C269" s="30"/>
      <c r="I269" s="31"/>
      <c r="J269" s="16"/>
      <c r="N269" s="6" t="str">
        <f t="shared" si="40"/>
        <v/>
      </c>
      <c r="O269" s="4" t="str">
        <f t="shared" si="41"/>
        <v/>
      </c>
      <c r="P269" s="4" t="str">
        <f t="shared" si="42"/>
        <v/>
      </c>
      <c r="Q269" t="str">
        <f t="shared" si="43"/>
        <v/>
      </c>
      <c r="R269" t="str">
        <f t="shared" si="44"/>
        <v/>
      </c>
      <c r="S269" s="1" t="str">
        <f t="shared" si="45"/>
        <v>weekly</v>
      </c>
      <c r="T269" s="4" t="str">
        <f t="shared" si="46"/>
        <v/>
      </c>
      <c r="U269" s="10" t="str">
        <f t="shared" si="47"/>
        <v/>
      </c>
      <c r="V269" s="10" t="str">
        <f t="shared" si="48"/>
        <v/>
      </c>
      <c r="W269" s="33" t="str">
        <f t="shared" si="49"/>
        <v/>
      </c>
    </row>
    <row r="270" spans="3:23">
      <c r="C270" s="30"/>
      <c r="I270" s="31"/>
      <c r="J270" s="16"/>
      <c r="N270" s="6" t="str">
        <f t="shared" si="40"/>
        <v/>
      </c>
      <c r="O270" s="4" t="str">
        <f t="shared" si="41"/>
        <v/>
      </c>
      <c r="P270" s="4" t="str">
        <f t="shared" si="42"/>
        <v/>
      </c>
      <c r="Q270" t="str">
        <f t="shared" si="43"/>
        <v/>
      </c>
      <c r="R270" t="str">
        <f t="shared" si="44"/>
        <v/>
      </c>
      <c r="S270" s="1" t="str">
        <f t="shared" si="45"/>
        <v>weekly</v>
      </c>
      <c r="T270" s="4" t="str">
        <f t="shared" si="46"/>
        <v/>
      </c>
      <c r="U270" s="10" t="str">
        <f t="shared" si="47"/>
        <v/>
      </c>
      <c r="V270" s="10" t="str">
        <f t="shared" si="48"/>
        <v/>
      </c>
      <c r="W270" s="33" t="str">
        <f t="shared" si="49"/>
        <v/>
      </c>
    </row>
    <row r="271" spans="3:23">
      <c r="C271" s="30"/>
      <c r="I271" s="31"/>
      <c r="J271" s="16"/>
      <c r="N271" s="6" t="str">
        <f t="shared" si="40"/>
        <v/>
      </c>
      <c r="O271" s="4" t="str">
        <f t="shared" si="41"/>
        <v/>
      </c>
      <c r="P271" s="4" t="str">
        <f t="shared" si="42"/>
        <v/>
      </c>
      <c r="Q271" t="str">
        <f t="shared" si="43"/>
        <v/>
      </c>
      <c r="R271" t="str">
        <f t="shared" si="44"/>
        <v/>
      </c>
      <c r="S271" s="1" t="str">
        <f t="shared" si="45"/>
        <v>weekly</v>
      </c>
      <c r="T271" s="4" t="str">
        <f t="shared" si="46"/>
        <v/>
      </c>
      <c r="U271" s="10" t="str">
        <f t="shared" si="47"/>
        <v/>
      </c>
      <c r="V271" s="10" t="str">
        <f t="shared" si="48"/>
        <v/>
      </c>
      <c r="W271" s="33" t="str">
        <f t="shared" si="49"/>
        <v/>
      </c>
    </row>
    <row r="272" spans="3:23">
      <c r="C272" s="30"/>
      <c r="I272" s="31"/>
      <c r="J272" s="16"/>
      <c r="N272" s="6" t="str">
        <f t="shared" si="40"/>
        <v/>
      </c>
      <c r="O272" s="4" t="str">
        <f t="shared" si="41"/>
        <v/>
      </c>
      <c r="P272" s="4" t="str">
        <f t="shared" si="42"/>
        <v/>
      </c>
      <c r="Q272" t="str">
        <f t="shared" si="43"/>
        <v/>
      </c>
      <c r="R272" t="str">
        <f t="shared" si="44"/>
        <v/>
      </c>
      <c r="S272" s="1" t="str">
        <f t="shared" si="45"/>
        <v>weekly</v>
      </c>
      <c r="T272" s="4" t="str">
        <f t="shared" si="46"/>
        <v/>
      </c>
      <c r="U272" s="10" t="str">
        <f t="shared" si="47"/>
        <v/>
      </c>
      <c r="V272" s="10" t="str">
        <f t="shared" si="48"/>
        <v/>
      </c>
      <c r="W272" s="33" t="str">
        <f t="shared" si="49"/>
        <v/>
      </c>
    </row>
    <row r="273" spans="3:23">
      <c r="C273" s="30"/>
      <c r="I273" s="31"/>
      <c r="J273" s="16"/>
      <c r="N273" s="6" t="str">
        <f t="shared" si="40"/>
        <v/>
      </c>
      <c r="O273" s="4" t="str">
        <f t="shared" si="41"/>
        <v/>
      </c>
      <c r="P273" s="4" t="str">
        <f t="shared" si="42"/>
        <v/>
      </c>
      <c r="Q273" t="str">
        <f t="shared" si="43"/>
        <v/>
      </c>
      <c r="R273" t="str">
        <f t="shared" si="44"/>
        <v/>
      </c>
      <c r="S273" s="1" t="str">
        <f t="shared" si="45"/>
        <v>weekly</v>
      </c>
      <c r="T273" s="4" t="str">
        <f t="shared" si="46"/>
        <v/>
      </c>
      <c r="U273" s="10" t="str">
        <f t="shared" si="47"/>
        <v/>
      </c>
      <c r="V273" s="10" t="str">
        <f t="shared" si="48"/>
        <v/>
      </c>
      <c r="W273" s="33" t="str">
        <f t="shared" si="49"/>
        <v/>
      </c>
    </row>
    <row r="274" spans="3:23">
      <c r="C274" s="30"/>
      <c r="I274" s="31"/>
      <c r="J274" s="16"/>
      <c r="N274" s="6" t="str">
        <f t="shared" si="40"/>
        <v/>
      </c>
      <c r="O274" s="4" t="str">
        <f t="shared" si="41"/>
        <v/>
      </c>
      <c r="P274" s="4" t="str">
        <f t="shared" si="42"/>
        <v/>
      </c>
      <c r="Q274" t="str">
        <f t="shared" si="43"/>
        <v/>
      </c>
      <c r="R274" t="str">
        <f t="shared" si="44"/>
        <v/>
      </c>
      <c r="S274" s="1" t="str">
        <f t="shared" si="45"/>
        <v>weekly</v>
      </c>
      <c r="T274" s="4" t="str">
        <f t="shared" si="46"/>
        <v/>
      </c>
      <c r="U274" s="10" t="str">
        <f t="shared" si="47"/>
        <v/>
      </c>
      <c r="V274" s="10" t="str">
        <f t="shared" si="48"/>
        <v/>
      </c>
      <c r="W274" s="33" t="str">
        <f t="shared" si="49"/>
        <v/>
      </c>
    </row>
    <row r="275" spans="3:23">
      <c r="C275" s="30"/>
      <c r="I275" s="31"/>
      <c r="J275" s="16"/>
      <c r="N275" s="6" t="str">
        <f t="shared" si="40"/>
        <v/>
      </c>
      <c r="O275" s="4" t="str">
        <f t="shared" si="41"/>
        <v/>
      </c>
      <c r="P275" s="4" t="str">
        <f t="shared" si="42"/>
        <v/>
      </c>
      <c r="Q275" t="str">
        <f t="shared" si="43"/>
        <v/>
      </c>
      <c r="R275" t="str">
        <f t="shared" si="44"/>
        <v/>
      </c>
      <c r="S275" s="1" t="str">
        <f t="shared" si="45"/>
        <v>weekly</v>
      </c>
      <c r="T275" s="4" t="str">
        <f t="shared" si="46"/>
        <v/>
      </c>
      <c r="U275" s="10" t="str">
        <f t="shared" si="47"/>
        <v/>
      </c>
      <c r="V275" s="10" t="str">
        <f t="shared" si="48"/>
        <v/>
      </c>
      <c r="W275" s="33" t="str">
        <f t="shared" si="49"/>
        <v/>
      </c>
    </row>
    <row r="276" spans="3:23">
      <c r="C276" s="30"/>
      <c r="I276" s="31"/>
      <c r="J276" s="16"/>
      <c r="N276" s="6" t="str">
        <f t="shared" si="40"/>
        <v/>
      </c>
      <c r="O276" s="4" t="str">
        <f t="shared" si="41"/>
        <v/>
      </c>
      <c r="P276" s="4" t="str">
        <f t="shared" si="42"/>
        <v/>
      </c>
      <c r="Q276" t="str">
        <f t="shared" si="43"/>
        <v/>
      </c>
      <c r="R276" t="str">
        <f t="shared" si="44"/>
        <v/>
      </c>
      <c r="S276" s="1" t="str">
        <f t="shared" si="45"/>
        <v>weekly</v>
      </c>
      <c r="T276" s="4" t="str">
        <f t="shared" si="46"/>
        <v/>
      </c>
      <c r="U276" s="10" t="str">
        <f t="shared" si="47"/>
        <v/>
      </c>
      <c r="V276" s="10" t="str">
        <f t="shared" si="48"/>
        <v/>
      </c>
      <c r="W276" s="33" t="str">
        <f t="shared" si="49"/>
        <v/>
      </c>
    </row>
    <row r="277" spans="3:23">
      <c r="C277" s="30"/>
      <c r="I277" s="31"/>
      <c r="J277" s="16"/>
      <c r="N277" s="6" t="str">
        <f t="shared" si="40"/>
        <v/>
      </c>
      <c r="O277" s="4" t="str">
        <f t="shared" si="41"/>
        <v/>
      </c>
      <c r="P277" s="4" t="str">
        <f t="shared" si="42"/>
        <v/>
      </c>
      <c r="Q277" t="str">
        <f t="shared" si="43"/>
        <v/>
      </c>
      <c r="R277" t="str">
        <f t="shared" si="44"/>
        <v/>
      </c>
      <c r="S277" s="1" t="str">
        <f t="shared" si="45"/>
        <v>weekly</v>
      </c>
      <c r="T277" s="4" t="str">
        <f t="shared" si="46"/>
        <v/>
      </c>
      <c r="U277" s="10" t="str">
        <f t="shared" si="47"/>
        <v/>
      </c>
      <c r="V277" s="10" t="str">
        <f t="shared" si="48"/>
        <v/>
      </c>
      <c r="W277" s="33" t="str">
        <f t="shared" si="49"/>
        <v/>
      </c>
    </row>
    <row r="278" spans="3:23">
      <c r="C278" s="30"/>
      <c r="I278" s="31"/>
      <c r="J278" s="16"/>
      <c r="N278" s="6" t="str">
        <f t="shared" si="40"/>
        <v/>
      </c>
      <c r="O278" s="4" t="str">
        <f t="shared" si="41"/>
        <v/>
      </c>
      <c r="P278" s="4" t="str">
        <f t="shared" si="42"/>
        <v/>
      </c>
      <c r="Q278" t="str">
        <f t="shared" si="43"/>
        <v/>
      </c>
      <c r="R278" t="str">
        <f t="shared" si="44"/>
        <v/>
      </c>
      <c r="S278" s="1" t="str">
        <f t="shared" si="45"/>
        <v>weekly</v>
      </c>
      <c r="T278" s="4" t="str">
        <f t="shared" si="46"/>
        <v/>
      </c>
      <c r="U278" s="10" t="str">
        <f t="shared" si="47"/>
        <v/>
      </c>
      <c r="V278" s="10" t="str">
        <f t="shared" si="48"/>
        <v/>
      </c>
      <c r="W278" s="33" t="str">
        <f t="shared" si="49"/>
        <v/>
      </c>
    </row>
    <row r="279" spans="3:23">
      <c r="C279" s="30"/>
      <c r="I279" s="31"/>
      <c r="J279" s="16"/>
      <c r="N279" s="6" t="str">
        <f t="shared" si="40"/>
        <v/>
      </c>
      <c r="O279" s="4" t="str">
        <f t="shared" si="41"/>
        <v/>
      </c>
      <c r="P279" s="4" t="str">
        <f t="shared" si="42"/>
        <v/>
      </c>
      <c r="Q279" t="str">
        <f t="shared" si="43"/>
        <v/>
      </c>
      <c r="R279" t="str">
        <f t="shared" si="44"/>
        <v/>
      </c>
      <c r="S279" s="1" t="str">
        <f t="shared" si="45"/>
        <v>weekly</v>
      </c>
      <c r="T279" s="4" t="str">
        <f t="shared" si="46"/>
        <v/>
      </c>
      <c r="U279" s="10" t="str">
        <f t="shared" si="47"/>
        <v/>
      </c>
      <c r="V279" s="10" t="str">
        <f t="shared" si="48"/>
        <v/>
      </c>
      <c r="W279" s="33" t="str">
        <f t="shared" si="49"/>
        <v/>
      </c>
    </row>
    <row r="280" spans="3:23">
      <c r="C280" s="30"/>
      <c r="I280" s="31"/>
      <c r="J280" s="16"/>
      <c r="N280" s="6" t="str">
        <f t="shared" si="40"/>
        <v/>
      </c>
      <c r="O280" s="4" t="str">
        <f t="shared" si="41"/>
        <v/>
      </c>
      <c r="P280" s="4" t="str">
        <f t="shared" si="42"/>
        <v/>
      </c>
      <c r="Q280" t="str">
        <f t="shared" si="43"/>
        <v/>
      </c>
      <c r="R280" t="str">
        <f t="shared" si="44"/>
        <v/>
      </c>
      <c r="S280" s="1" t="str">
        <f t="shared" si="45"/>
        <v>weekly</v>
      </c>
      <c r="T280" s="4" t="str">
        <f t="shared" si="46"/>
        <v/>
      </c>
      <c r="U280" s="10" t="str">
        <f t="shared" si="47"/>
        <v/>
      </c>
      <c r="V280" s="10" t="str">
        <f t="shared" si="48"/>
        <v/>
      </c>
      <c r="W280" s="33" t="str">
        <f t="shared" si="49"/>
        <v/>
      </c>
    </row>
    <row r="281" spans="3:23">
      <c r="C281" s="30"/>
      <c r="I281" s="31"/>
      <c r="J281" s="16"/>
      <c r="N281" s="6" t="str">
        <f t="shared" si="40"/>
        <v/>
      </c>
      <c r="O281" s="4" t="str">
        <f t="shared" si="41"/>
        <v/>
      </c>
      <c r="P281" s="4" t="str">
        <f t="shared" si="42"/>
        <v/>
      </c>
      <c r="Q281" t="str">
        <f t="shared" si="43"/>
        <v/>
      </c>
      <c r="R281" t="str">
        <f t="shared" si="44"/>
        <v/>
      </c>
      <c r="S281" s="1" t="str">
        <f t="shared" si="45"/>
        <v>weekly</v>
      </c>
      <c r="T281" s="4" t="str">
        <f t="shared" si="46"/>
        <v/>
      </c>
      <c r="U281" s="10" t="str">
        <f t="shared" si="47"/>
        <v/>
      </c>
      <c r="V281" s="10" t="str">
        <f t="shared" si="48"/>
        <v/>
      </c>
      <c r="W281" s="33" t="str">
        <f t="shared" si="49"/>
        <v/>
      </c>
    </row>
    <row r="282" spans="3:23">
      <c r="C282" s="30"/>
      <c r="I282" s="31"/>
      <c r="J282" s="16"/>
      <c r="N282" s="6" t="str">
        <f t="shared" si="40"/>
        <v/>
      </c>
      <c r="O282" s="4" t="str">
        <f t="shared" si="41"/>
        <v/>
      </c>
      <c r="P282" s="4" t="str">
        <f t="shared" si="42"/>
        <v/>
      </c>
      <c r="Q282" t="str">
        <f t="shared" si="43"/>
        <v/>
      </c>
      <c r="R282" t="str">
        <f t="shared" si="44"/>
        <v/>
      </c>
      <c r="S282" s="1" t="str">
        <f t="shared" si="45"/>
        <v>weekly</v>
      </c>
      <c r="T282" s="4" t="str">
        <f t="shared" si="46"/>
        <v/>
      </c>
      <c r="U282" s="10" t="str">
        <f t="shared" si="47"/>
        <v/>
      </c>
      <c r="V282" s="10" t="str">
        <f t="shared" si="48"/>
        <v/>
      </c>
      <c r="W282" s="33" t="str">
        <f t="shared" si="49"/>
        <v/>
      </c>
    </row>
    <row r="283" spans="3:23">
      <c r="C283" s="30"/>
      <c r="I283" s="31"/>
      <c r="J283" s="16"/>
      <c r="N283" s="6" t="str">
        <f t="shared" si="40"/>
        <v/>
      </c>
      <c r="O283" s="4" t="str">
        <f t="shared" si="41"/>
        <v/>
      </c>
      <c r="P283" s="4" t="str">
        <f t="shared" si="42"/>
        <v/>
      </c>
      <c r="Q283" t="str">
        <f t="shared" si="43"/>
        <v/>
      </c>
      <c r="R283" t="str">
        <f t="shared" si="44"/>
        <v/>
      </c>
      <c r="S283" s="1" t="str">
        <f t="shared" si="45"/>
        <v>weekly</v>
      </c>
      <c r="T283" s="4" t="str">
        <f t="shared" si="46"/>
        <v/>
      </c>
      <c r="U283" s="10" t="str">
        <f t="shared" si="47"/>
        <v/>
      </c>
      <c r="V283" s="10" t="str">
        <f t="shared" si="48"/>
        <v/>
      </c>
      <c r="W283" s="33" t="str">
        <f t="shared" si="49"/>
        <v/>
      </c>
    </row>
    <row r="284" spans="3:23">
      <c r="C284" s="30"/>
      <c r="I284" s="31"/>
      <c r="J284" s="16"/>
      <c r="N284" s="6" t="str">
        <f t="shared" si="40"/>
        <v/>
      </c>
      <c r="O284" s="4" t="str">
        <f t="shared" si="41"/>
        <v/>
      </c>
      <c r="P284" s="4" t="str">
        <f t="shared" si="42"/>
        <v/>
      </c>
      <c r="Q284" t="str">
        <f t="shared" si="43"/>
        <v/>
      </c>
      <c r="R284" t="str">
        <f t="shared" si="44"/>
        <v/>
      </c>
      <c r="S284" s="1" t="str">
        <f t="shared" si="45"/>
        <v>weekly</v>
      </c>
      <c r="T284" s="4" t="str">
        <f t="shared" si="46"/>
        <v/>
      </c>
      <c r="U284" s="10" t="str">
        <f t="shared" si="47"/>
        <v/>
      </c>
      <c r="V284" s="10" t="str">
        <f t="shared" si="48"/>
        <v/>
      </c>
      <c r="W284" s="33" t="str">
        <f t="shared" si="49"/>
        <v/>
      </c>
    </row>
    <row r="285" spans="3:23">
      <c r="C285" s="49"/>
      <c r="D285" s="23"/>
      <c r="E285" s="23"/>
      <c r="F285" s="22"/>
      <c r="G285" s="22"/>
      <c r="H285" s="23"/>
      <c r="I285" s="37"/>
      <c r="J285" s="38"/>
      <c r="K285" s="22"/>
      <c r="L285" s="22"/>
      <c r="M285" s="23"/>
      <c r="N285" s="6" t="str">
        <f t="shared" si="40"/>
        <v/>
      </c>
      <c r="O285" s="4" t="str">
        <f t="shared" si="41"/>
        <v/>
      </c>
      <c r="P285" s="4" t="str">
        <f t="shared" si="42"/>
        <v/>
      </c>
      <c r="Q285" t="str">
        <f t="shared" si="43"/>
        <v/>
      </c>
      <c r="R285" t="str">
        <f t="shared" si="44"/>
        <v/>
      </c>
      <c r="S285" s="1" t="str">
        <f t="shared" si="45"/>
        <v>weekly</v>
      </c>
      <c r="T285" s="4" t="str">
        <f t="shared" si="46"/>
        <v/>
      </c>
      <c r="U285" s="10" t="str">
        <f t="shared" si="47"/>
        <v/>
      </c>
      <c r="V285" s="10" t="str">
        <f t="shared" si="48"/>
        <v/>
      </c>
      <c r="W285" s="33" t="str">
        <f t="shared" si="49"/>
        <v/>
      </c>
    </row>
    <row r="286" spans="3:23">
      <c r="C286" s="30"/>
      <c r="I286" s="31"/>
      <c r="J286" s="16"/>
      <c r="N286" s="6" t="str">
        <f t="shared" si="40"/>
        <v/>
      </c>
      <c r="O286" s="4" t="str">
        <f t="shared" si="41"/>
        <v/>
      </c>
      <c r="P286" s="4" t="str">
        <f t="shared" si="42"/>
        <v/>
      </c>
      <c r="Q286" t="str">
        <f t="shared" si="43"/>
        <v/>
      </c>
      <c r="R286" t="str">
        <f t="shared" si="44"/>
        <v/>
      </c>
      <c r="S286" s="1" t="str">
        <f t="shared" si="45"/>
        <v>weekly</v>
      </c>
      <c r="T286" s="4" t="str">
        <f t="shared" si="46"/>
        <v/>
      </c>
      <c r="U286" s="10" t="str">
        <f t="shared" si="47"/>
        <v/>
      </c>
      <c r="V286" s="10" t="str">
        <f t="shared" si="48"/>
        <v/>
      </c>
      <c r="W286" s="33" t="str">
        <f t="shared" si="49"/>
        <v/>
      </c>
    </row>
    <row r="287" spans="3:23">
      <c r="C287" s="30"/>
      <c r="I287" s="31"/>
      <c r="J287" s="16"/>
      <c r="N287" s="6" t="str">
        <f t="shared" si="40"/>
        <v/>
      </c>
      <c r="O287" s="4" t="str">
        <f t="shared" si="41"/>
        <v/>
      </c>
      <c r="P287" s="4" t="str">
        <f t="shared" si="42"/>
        <v/>
      </c>
      <c r="Q287" t="str">
        <f t="shared" si="43"/>
        <v/>
      </c>
      <c r="R287" t="str">
        <f t="shared" si="44"/>
        <v/>
      </c>
      <c r="S287" s="1" t="str">
        <f t="shared" si="45"/>
        <v>weekly</v>
      </c>
      <c r="T287" s="4" t="str">
        <f t="shared" si="46"/>
        <v/>
      </c>
      <c r="U287" s="10" t="str">
        <f t="shared" si="47"/>
        <v/>
      </c>
      <c r="V287" s="10" t="str">
        <f t="shared" si="48"/>
        <v/>
      </c>
      <c r="W287" s="33" t="str">
        <f t="shared" si="49"/>
        <v/>
      </c>
    </row>
    <row r="288" spans="3:23">
      <c r="C288" s="30"/>
      <c r="I288" s="31"/>
      <c r="J288" s="16"/>
      <c r="N288" s="6" t="str">
        <f t="shared" si="40"/>
        <v/>
      </c>
      <c r="O288" s="4" t="str">
        <f t="shared" si="41"/>
        <v/>
      </c>
      <c r="P288" s="4" t="str">
        <f t="shared" si="42"/>
        <v/>
      </c>
      <c r="Q288" t="str">
        <f t="shared" si="43"/>
        <v/>
      </c>
      <c r="R288" t="str">
        <f t="shared" si="44"/>
        <v/>
      </c>
      <c r="S288" s="1" t="str">
        <f t="shared" si="45"/>
        <v>weekly</v>
      </c>
      <c r="T288" s="4" t="str">
        <f t="shared" si="46"/>
        <v/>
      </c>
      <c r="U288" s="10" t="str">
        <f t="shared" si="47"/>
        <v/>
      </c>
      <c r="V288" s="10" t="str">
        <f t="shared" si="48"/>
        <v/>
      </c>
      <c r="W288" s="33" t="str">
        <f t="shared" si="49"/>
        <v/>
      </c>
    </row>
    <row r="289" spans="3:23">
      <c r="C289" s="30"/>
      <c r="I289" s="31"/>
      <c r="J289" s="16"/>
      <c r="N289" s="6" t="str">
        <f t="shared" si="40"/>
        <v/>
      </c>
      <c r="O289" s="4" t="str">
        <f t="shared" si="41"/>
        <v/>
      </c>
      <c r="P289" s="4" t="str">
        <f t="shared" si="42"/>
        <v/>
      </c>
      <c r="Q289" t="str">
        <f t="shared" si="43"/>
        <v/>
      </c>
      <c r="R289" t="str">
        <f t="shared" si="44"/>
        <v/>
      </c>
      <c r="S289" s="1" t="str">
        <f t="shared" si="45"/>
        <v>weekly</v>
      </c>
      <c r="T289" s="4" t="str">
        <f t="shared" si="46"/>
        <v/>
      </c>
      <c r="U289" s="10" t="str">
        <f t="shared" si="47"/>
        <v/>
      </c>
      <c r="V289" s="10" t="str">
        <f t="shared" si="48"/>
        <v/>
      </c>
      <c r="W289" s="33" t="str">
        <f t="shared" si="49"/>
        <v/>
      </c>
    </row>
    <row r="290" spans="3:23">
      <c r="C290" s="30"/>
      <c r="I290" s="31"/>
      <c r="J290" s="16"/>
      <c r="N290" s="6" t="str">
        <f t="shared" si="40"/>
        <v/>
      </c>
      <c r="O290" s="4" t="str">
        <f t="shared" si="41"/>
        <v/>
      </c>
      <c r="P290" s="4" t="str">
        <f t="shared" si="42"/>
        <v/>
      </c>
      <c r="Q290" t="str">
        <f t="shared" si="43"/>
        <v/>
      </c>
      <c r="R290" t="str">
        <f t="shared" si="44"/>
        <v/>
      </c>
      <c r="S290" s="1" t="str">
        <f t="shared" si="45"/>
        <v>weekly</v>
      </c>
      <c r="T290" s="4" t="str">
        <f t="shared" si="46"/>
        <v/>
      </c>
      <c r="U290" s="10" t="str">
        <f t="shared" si="47"/>
        <v/>
      </c>
      <c r="V290" s="10" t="str">
        <f t="shared" si="48"/>
        <v/>
      </c>
      <c r="W290" s="33" t="str">
        <f t="shared" si="49"/>
        <v/>
      </c>
    </row>
    <row r="291" spans="3:23">
      <c r="C291" s="30"/>
      <c r="I291" s="31"/>
      <c r="J291" s="16"/>
      <c r="N291" s="6" t="str">
        <f t="shared" si="40"/>
        <v/>
      </c>
      <c r="O291" s="4" t="str">
        <f t="shared" si="41"/>
        <v/>
      </c>
      <c r="P291" s="4" t="str">
        <f t="shared" si="42"/>
        <v/>
      </c>
      <c r="Q291" t="str">
        <f t="shared" si="43"/>
        <v/>
      </c>
      <c r="R291" t="str">
        <f t="shared" si="44"/>
        <v/>
      </c>
      <c r="S291" s="1" t="str">
        <f t="shared" si="45"/>
        <v>weekly</v>
      </c>
      <c r="T291" s="4" t="str">
        <f t="shared" si="46"/>
        <v/>
      </c>
      <c r="U291" s="10" t="str">
        <f t="shared" si="47"/>
        <v/>
      </c>
      <c r="V291" s="10" t="str">
        <f t="shared" si="48"/>
        <v/>
      </c>
      <c r="W291" s="33" t="str">
        <f t="shared" si="49"/>
        <v/>
      </c>
    </row>
    <row r="292" spans="3:23">
      <c r="C292" s="30"/>
      <c r="I292" s="31"/>
      <c r="J292" s="16"/>
      <c r="N292" s="6" t="str">
        <f t="shared" si="40"/>
        <v/>
      </c>
      <c r="O292" s="4" t="str">
        <f t="shared" si="41"/>
        <v/>
      </c>
      <c r="P292" s="4" t="str">
        <f t="shared" si="42"/>
        <v/>
      </c>
      <c r="Q292" t="str">
        <f t="shared" si="43"/>
        <v/>
      </c>
      <c r="R292" t="str">
        <f t="shared" si="44"/>
        <v/>
      </c>
      <c r="S292" s="1" t="str">
        <f t="shared" si="45"/>
        <v>weekly</v>
      </c>
      <c r="T292" s="4" t="str">
        <f t="shared" si="46"/>
        <v/>
      </c>
      <c r="U292" s="10" t="str">
        <f t="shared" si="47"/>
        <v/>
      </c>
      <c r="V292" s="10" t="str">
        <f t="shared" si="48"/>
        <v/>
      </c>
      <c r="W292" s="33" t="str">
        <f t="shared" si="49"/>
        <v/>
      </c>
    </row>
    <row r="293" spans="3:23">
      <c r="C293" s="30"/>
      <c r="I293" s="31"/>
      <c r="J293" s="16"/>
      <c r="N293" s="6" t="str">
        <f t="shared" si="40"/>
        <v/>
      </c>
      <c r="O293" s="4" t="str">
        <f t="shared" si="41"/>
        <v/>
      </c>
      <c r="P293" s="4" t="str">
        <f t="shared" si="42"/>
        <v/>
      </c>
      <c r="Q293" t="str">
        <f t="shared" si="43"/>
        <v/>
      </c>
      <c r="R293" t="str">
        <f t="shared" si="44"/>
        <v/>
      </c>
      <c r="S293" s="1" t="str">
        <f t="shared" si="45"/>
        <v>weekly</v>
      </c>
      <c r="T293" s="4" t="str">
        <f t="shared" si="46"/>
        <v/>
      </c>
      <c r="U293" s="10" t="str">
        <f t="shared" si="47"/>
        <v/>
      </c>
      <c r="V293" s="10" t="str">
        <f t="shared" si="48"/>
        <v/>
      </c>
      <c r="W293" s="33" t="str">
        <f t="shared" si="49"/>
        <v/>
      </c>
    </row>
    <row r="294" spans="3:23">
      <c r="C294" s="30"/>
      <c r="I294" s="31"/>
      <c r="J294" s="16"/>
      <c r="N294" s="6" t="str">
        <f t="shared" si="40"/>
        <v/>
      </c>
      <c r="O294" s="4" t="str">
        <f t="shared" si="41"/>
        <v/>
      </c>
      <c r="P294" s="4" t="str">
        <f t="shared" si="42"/>
        <v/>
      </c>
      <c r="Q294" t="str">
        <f t="shared" si="43"/>
        <v/>
      </c>
      <c r="R294" t="str">
        <f t="shared" si="44"/>
        <v/>
      </c>
      <c r="S294" s="1" t="str">
        <f t="shared" si="45"/>
        <v>weekly</v>
      </c>
      <c r="T294" s="4" t="str">
        <f t="shared" si="46"/>
        <v/>
      </c>
      <c r="U294" s="10" t="str">
        <f t="shared" si="47"/>
        <v/>
      </c>
      <c r="V294" s="10" t="str">
        <f t="shared" si="48"/>
        <v/>
      </c>
      <c r="W294" s="33" t="str">
        <f t="shared" si="49"/>
        <v/>
      </c>
    </row>
    <row r="295" spans="3:23">
      <c r="C295" s="30"/>
      <c r="I295" s="31"/>
      <c r="J295" s="16"/>
      <c r="N295" s="6" t="str">
        <f t="shared" si="40"/>
        <v/>
      </c>
      <c r="O295" s="4" t="str">
        <f t="shared" si="41"/>
        <v/>
      </c>
      <c r="P295" s="4" t="str">
        <f t="shared" si="42"/>
        <v/>
      </c>
      <c r="Q295" t="str">
        <f t="shared" si="43"/>
        <v/>
      </c>
      <c r="R295" t="str">
        <f t="shared" si="44"/>
        <v/>
      </c>
      <c r="S295" s="1" t="str">
        <f t="shared" si="45"/>
        <v>weekly</v>
      </c>
      <c r="T295" s="4" t="str">
        <f t="shared" si="46"/>
        <v/>
      </c>
      <c r="U295" s="10" t="str">
        <f t="shared" si="47"/>
        <v/>
      </c>
      <c r="V295" s="10" t="str">
        <f t="shared" si="48"/>
        <v/>
      </c>
      <c r="W295" s="33" t="str">
        <f t="shared" si="49"/>
        <v/>
      </c>
    </row>
    <row r="296" spans="3:23">
      <c r="C296" s="30"/>
      <c r="I296" s="31"/>
      <c r="J296" s="16"/>
      <c r="N296" s="6" t="str">
        <f t="shared" si="40"/>
        <v/>
      </c>
      <c r="O296" s="4" t="str">
        <f t="shared" si="41"/>
        <v/>
      </c>
      <c r="P296" s="4" t="str">
        <f t="shared" si="42"/>
        <v/>
      </c>
      <c r="Q296" t="str">
        <f t="shared" si="43"/>
        <v/>
      </c>
      <c r="R296" t="str">
        <f t="shared" si="44"/>
        <v/>
      </c>
      <c r="S296" s="1" t="str">
        <f t="shared" si="45"/>
        <v>weekly</v>
      </c>
      <c r="T296" s="4" t="str">
        <f t="shared" si="46"/>
        <v/>
      </c>
      <c r="U296" s="10" t="str">
        <f t="shared" si="47"/>
        <v/>
      </c>
      <c r="V296" s="10" t="str">
        <f t="shared" si="48"/>
        <v/>
      </c>
      <c r="W296" s="33" t="str">
        <f t="shared" si="49"/>
        <v/>
      </c>
    </row>
    <row r="297" spans="3:23">
      <c r="C297" s="30"/>
      <c r="I297" s="31"/>
      <c r="J297" s="16"/>
      <c r="N297" s="6" t="str">
        <f t="shared" si="40"/>
        <v/>
      </c>
      <c r="O297" s="4" t="str">
        <f t="shared" si="41"/>
        <v/>
      </c>
      <c r="P297" s="4" t="str">
        <f t="shared" si="42"/>
        <v/>
      </c>
      <c r="Q297" t="str">
        <f t="shared" si="43"/>
        <v/>
      </c>
      <c r="R297" t="str">
        <f t="shared" si="44"/>
        <v/>
      </c>
      <c r="S297" s="1" t="str">
        <f t="shared" si="45"/>
        <v>weekly</v>
      </c>
      <c r="T297" s="4" t="str">
        <f t="shared" si="46"/>
        <v/>
      </c>
      <c r="U297" s="10" t="str">
        <f t="shared" si="47"/>
        <v/>
      </c>
      <c r="V297" s="10" t="str">
        <f t="shared" si="48"/>
        <v/>
      </c>
      <c r="W297" s="33" t="str">
        <f t="shared" si="49"/>
        <v/>
      </c>
    </row>
    <row r="298" spans="3:23">
      <c r="C298" s="30"/>
      <c r="I298" s="31"/>
      <c r="J298" s="16"/>
      <c r="N298" s="6" t="str">
        <f t="shared" si="40"/>
        <v/>
      </c>
      <c r="O298" s="4" t="str">
        <f t="shared" si="41"/>
        <v/>
      </c>
      <c r="P298" s="4" t="str">
        <f t="shared" si="42"/>
        <v/>
      </c>
      <c r="Q298" t="str">
        <f t="shared" si="43"/>
        <v/>
      </c>
      <c r="R298" t="str">
        <f t="shared" si="44"/>
        <v/>
      </c>
      <c r="S298" s="1" t="str">
        <f t="shared" si="45"/>
        <v>weekly</v>
      </c>
      <c r="T298" s="4" t="str">
        <f t="shared" si="46"/>
        <v/>
      </c>
      <c r="U298" s="10" t="str">
        <f t="shared" si="47"/>
        <v/>
      </c>
      <c r="V298" s="10" t="str">
        <f t="shared" si="48"/>
        <v/>
      </c>
      <c r="W298" s="33" t="str">
        <f t="shared" si="49"/>
        <v/>
      </c>
    </row>
    <row r="299" spans="3:23">
      <c r="C299" s="30"/>
      <c r="I299" s="31"/>
      <c r="J299" s="16"/>
      <c r="N299" s="6" t="str">
        <f t="shared" si="40"/>
        <v/>
      </c>
      <c r="O299" s="4" t="str">
        <f t="shared" si="41"/>
        <v/>
      </c>
      <c r="P299" s="4" t="str">
        <f t="shared" si="42"/>
        <v/>
      </c>
      <c r="Q299" t="str">
        <f t="shared" si="43"/>
        <v/>
      </c>
      <c r="R299" t="str">
        <f t="shared" si="44"/>
        <v/>
      </c>
      <c r="S299" s="1" t="str">
        <f t="shared" si="45"/>
        <v>weekly</v>
      </c>
      <c r="T299" s="4" t="str">
        <f t="shared" si="46"/>
        <v/>
      </c>
      <c r="U299" s="10" t="str">
        <f t="shared" si="47"/>
        <v/>
      </c>
      <c r="V299" s="10" t="str">
        <f t="shared" si="48"/>
        <v/>
      </c>
      <c r="W299" s="33" t="str">
        <f t="shared" si="49"/>
        <v/>
      </c>
    </row>
    <row r="300" spans="3:23">
      <c r="C300" s="30"/>
      <c r="I300" s="31"/>
      <c r="J300" s="16"/>
      <c r="N300" s="6" t="str">
        <f t="shared" si="40"/>
        <v/>
      </c>
      <c r="O300" s="4" t="str">
        <f t="shared" si="41"/>
        <v/>
      </c>
      <c r="P300" s="4" t="str">
        <f t="shared" si="42"/>
        <v/>
      </c>
      <c r="Q300" t="str">
        <f t="shared" si="43"/>
        <v/>
      </c>
      <c r="R300" t="str">
        <f t="shared" si="44"/>
        <v/>
      </c>
      <c r="S300" s="1" t="str">
        <f t="shared" si="45"/>
        <v>weekly</v>
      </c>
      <c r="T300" s="4" t="str">
        <f t="shared" si="46"/>
        <v/>
      </c>
      <c r="U300" s="10" t="str">
        <f t="shared" si="47"/>
        <v/>
      </c>
      <c r="V300" s="10" t="str">
        <f t="shared" si="48"/>
        <v/>
      </c>
      <c r="W300" s="33" t="str">
        <f t="shared" si="49"/>
        <v/>
      </c>
    </row>
    <row r="301" spans="3:23">
      <c r="C301" s="30"/>
      <c r="I301" s="31"/>
      <c r="J301" s="16"/>
      <c r="N301" s="6" t="str">
        <f t="shared" si="40"/>
        <v/>
      </c>
      <c r="O301" s="4" t="str">
        <f t="shared" si="41"/>
        <v/>
      </c>
      <c r="P301" s="4" t="str">
        <f t="shared" si="42"/>
        <v/>
      </c>
      <c r="Q301" t="str">
        <f t="shared" si="43"/>
        <v/>
      </c>
      <c r="R301" t="str">
        <f t="shared" si="44"/>
        <v/>
      </c>
      <c r="S301" s="1" t="str">
        <f t="shared" si="45"/>
        <v>weekly</v>
      </c>
      <c r="T301" s="4" t="str">
        <f t="shared" si="46"/>
        <v/>
      </c>
      <c r="U301" s="10" t="str">
        <f t="shared" si="47"/>
        <v/>
      </c>
      <c r="V301" s="10" t="str">
        <f t="shared" si="48"/>
        <v/>
      </c>
      <c r="W301" s="33" t="str">
        <f t="shared" si="49"/>
        <v/>
      </c>
    </row>
    <row r="302" spans="3:23">
      <c r="C302" s="30"/>
      <c r="I302" s="31"/>
      <c r="J302" s="16"/>
      <c r="N302" s="6" t="str">
        <f t="shared" si="40"/>
        <v/>
      </c>
      <c r="O302" s="4" t="str">
        <f t="shared" si="41"/>
        <v/>
      </c>
      <c r="P302" s="4" t="str">
        <f t="shared" si="42"/>
        <v/>
      </c>
      <c r="Q302" t="str">
        <f t="shared" si="43"/>
        <v/>
      </c>
      <c r="R302" t="str">
        <f t="shared" si="44"/>
        <v/>
      </c>
      <c r="S302" s="1" t="str">
        <f t="shared" si="45"/>
        <v>weekly</v>
      </c>
      <c r="T302" s="4" t="str">
        <f t="shared" si="46"/>
        <v/>
      </c>
      <c r="U302" s="10" t="str">
        <f t="shared" si="47"/>
        <v/>
      </c>
      <c r="V302" s="10" t="str">
        <f t="shared" si="48"/>
        <v/>
      </c>
      <c r="W302" s="33" t="str">
        <f t="shared" si="49"/>
        <v/>
      </c>
    </row>
    <row r="303" spans="3:23">
      <c r="C303" s="30"/>
      <c r="I303" s="31"/>
      <c r="J303" s="16"/>
      <c r="N303" s="6" t="str">
        <f t="shared" si="40"/>
        <v/>
      </c>
      <c r="O303" s="4" t="str">
        <f t="shared" si="41"/>
        <v/>
      </c>
      <c r="P303" s="4" t="str">
        <f t="shared" si="42"/>
        <v/>
      </c>
      <c r="Q303" t="str">
        <f t="shared" si="43"/>
        <v/>
      </c>
      <c r="R303" t="str">
        <f t="shared" si="44"/>
        <v/>
      </c>
      <c r="S303" s="1" t="str">
        <f t="shared" si="45"/>
        <v>weekly</v>
      </c>
      <c r="T303" s="4" t="str">
        <f t="shared" si="46"/>
        <v/>
      </c>
      <c r="U303" s="10" t="str">
        <f t="shared" si="47"/>
        <v/>
      </c>
      <c r="V303" s="10" t="str">
        <f t="shared" si="48"/>
        <v/>
      </c>
      <c r="W303" s="33" t="str">
        <f t="shared" si="49"/>
        <v/>
      </c>
    </row>
    <row r="304" spans="3:23">
      <c r="C304" s="30"/>
      <c r="I304" s="31"/>
      <c r="J304" s="16"/>
      <c r="N304" s="6" t="str">
        <f t="shared" si="40"/>
        <v/>
      </c>
      <c r="O304" s="4" t="str">
        <f t="shared" si="41"/>
        <v/>
      </c>
      <c r="P304" s="4" t="str">
        <f t="shared" si="42"/>
        <v/>
      </c>
      <c r="Q304" t="str">
        <f t="shared" si="43"/>
        <v/>
      </c>
      <c r="R304" t="str">
        <f t="shared" si="44"/>
        <v/>
      </c>
      <c r="S304" s="1" t="str">
        <f t="shared" si="45"/>
        <v>weekly</v>
      </c>
      <c r="T304" s="4" t="str">
        <f t="shared" si="46"/>
        <v/>
      </c>
      <c r="U304" s="10" t="str">
        <f t="shared" si="47"/>
        <v/>
      </c>
      <c r="V304" s="10" t="str">
        <f t="shared" si="48"/>
        <v/>
      </c>
      <c r="W304" s="33" t="str">
        <f t="shared" si="49"/>
        <v/>
      </c>
    </row>
    <row r="305" spans="3:23">
      <c r="C305" s="30"/>
      <c r="I305" s="31"/>
      <c r="J305" s="16"/>
      <c r="N305" s="6" t="str">
        <f t="shared" si="40"/>
        <v/>
      </c>
      <c r="O305" s="4" t="str">
        <f t="shared" si="41"/>
        <v/>
      </c>
      <c r="P305" s="4" t="str">
        <f t="shared" si="42"/>
        <v/>
      </c>
      <c r="Q305" t="str">
        <f t="shared" si="43"/>
        <v/>
      </c>
      <c r="R305" t="str">
        <f t="shared" si="44"/>
        <v/>
      </c>
      <c r="S305" s="1" t="str">
        <f t="shared" si="45"/>
        <v>weekly</v>
      </c>
      <c r="T305" s="4" t="str">
        <f t="shared" si="46"/>
        <v/>
      </c>
      <c r="U305" s="10" t="str">
        <f t="shared" si="47"/>
        <v/>
      </c>
      <c r="V305" s="10" t="str">
        <f t="shared" si="48"/>
        <v/>
      </c>
      <c r="W305" s="33" t="str">
        <f t="shared" si="49"/>
        <v/>
      </c>
    </row>
    <row r="306" spans="3:23">
      <c r="C306" s="30"/>
      <c r="I306" s="31"/>
      <c r="J306" s="16"/>
      <c r="N306" s="6" t="str">
        <f t="shared" si="40"/>
        <v/>
      </c>
      <c r="O306" s="4" t="str">
        <f t="shared" si="41"/>
        <v/>
      </c>
      <c r="P306" s="4" t="str">
        <f t="shared" si="42"/>
        <v/>
      </c>
      <c r="Q306" t="str">
        <f t="shared" si="43"/>
        <v/>
      </c>
      <c r="R306" t="str">
        <f t="shared" si="44"/>
        <v/>
      </c>
      <c r="S306" s="1" t="str">
        <f t="shared" si="45"/>
        <v>weekly</v>
      </c>
      <c r="T306" s="4" t="str">
        <f t="shared" si="46"/>
        <v/>
      </c>
      <c r="U306" s="10" t="str">
        <f t="shared" si="47"/>
        <v/>
      </c>
      <c r="V306" s="10" t="str">
        <f t="shared" si="48"/>
        <v/>
      </c>
      <c r="W306" s="33" t="str">
        <f t="shared" si="49"/>
        <v/>
      </c>
    </row>
    <row r="307" spans="3:23">
      <c r="C307" s="30"/>
      <c r="I307" s="31"/>
      <c r="J307" s="16"/>
      <c r="N307" s="6" t="str">
        <f t="shared" si="40"/>
        <v/>
      </c>
      <c r="O307" s="4" t="str">
        <f t="shared" si="41"/>
        <v/>
      </c>
      <c r="P307" s="4" t="str">
        <f t="shared" si="42"/>
        <v/>
      </c>
      <c r="Q307" t="str">
        <f t="shared" si="43"/>
        <v/>
      </c>
      <c r="R307" t="str">
        <f t="shared" si="44"/>
        <v/>
      </c>
      <c r="S307" s="1" t="str">
        <f t="shared" si="45"/>
        <v>weekly</v>
      </c>
      <c r="T307" s="4" t="str">
        <f t="shared" si="46"/>
        <v/>
      </c>
      <c r="U307" s="10" t="str">
        <f t="shared" si="47"/>
        <v/>
      </c>
      <c r="V307" s="10" t="str">
        <f t="shared" si="48"/>
        <v/>
      </c>
      <c r="W307" s="33" t="str">
        <f t="shared" si="49"/>
        <v/>
      </c>
    </row>
    <row r="308" spans="3:23">
      <c r="C308" s="30"/>
      <c r="I308" s="31"/>
      <c r="J308" s="16"/>
      <c r="N308" s="6" t="str">
        <f t="shared" si="40"/>
        <v/>
      </c>
      <c r="O308" s="4" t="str">
        <f t="shared" si="41"/>
        <v/>
      </c>
      <c r="P308" s="4" t="str">
        <f t="shared" si="42"/>
        <v/>
      </c>
      <c r="Q308" t="str">
        <f t="shared" si="43"/>
        <v/>
      </c>
      <c r="R308" t="str">
        <f t="shared" si="44"/>
        <v/>
      </c>
      <c r="S308" s="1" t="str">
        <f t="shared" si="45"/>
        <v>weekly</v>
      </c>
      <c r="T308" s="4" t="str">
        <f t="shared" si="46"/>
        <v/>
      </c>
      <c r="U308" s="10" t="str">
        <f t="shared" si="47"/>
        <v/>
      </c>
      <c r="V308" s="10" t="str">
        <f t="shared" si="48"/>
        <v/>
      </c>
      <c r="W308" s="33" t="str">
        <f t="shared" si="49"/>
        <v/>
      </c>
    </row>
    <row r="309" spans="3:23">
      <c r="C309" s="30"/>
      <c r="I309" s="31"/>
      <c r="J309" s="16"/>
      <c r="N309" s="6" t="str">
        <f t="shared" si="40"/>
        <v/>
      </c>
      <c r="O309" s="4" t="str">
        <f t="shared" si="41"/>
        <v/>
      </c>
      <c r="P309" s="4" t="str">
        <f t="shared" si="42"/>
        <v/>
      </c>
      <c r="Q309" t="str">
        <f t="shared" si="43"/>
        <v/>
      </c>
      <c r="R309" t="str">
        <f t="shared" si="44"/>
        <v/>
      </c>
      <c r="S309" s="1" t="str">
        <f t="shared" si="45"/>
        <v>weekly</v>
      </c>
      <c r="T309" s="4" t="str">
        <f t="shared" si="46"/>
        <v/>
      </c>
      <c r="U309" s="10" t="str">
        <f t="shared" si="47"/>
        <v/>
      </c>
      <c r="V309" s="10" t="str">
        <f t="shared" si="48"/>
        <v/>
      </c>
      <c r="W309" s="33" t="str">
        <f t="shared" si="49"/>
        <v/>
      </c>
    </row>
    <row r="310" spans="3:23">
      <c r="C310" s="30"/>
      <c r="I310" s="31"/>
      <c r="J310" s="16"/>
      <c r="N310" s="6" t="str">
        <f t="shared" si="40"/>
        <v/>
      </c>
      <c r="O310" s="4" t="str">
        <f t="shared" si="41"/>
        <v/>
      </c>
      <c r="P310" s="4" t="str">
        <f t="shared" si="42"/>
        <v/>
      </c>
      <c r="Q310" t="str">
        <f t="shared" si="43"/>
        <v/>
      </c>
      <c r="R310" t="str">
        <f t="shared" si="44"/>
        <v/>
      </c>
      <c r="S310" s="1" t="str">
        <f t="shared" si="45"/>
        <v>weekly</v>
      </c>
      <c r="T310" s="4" t="str">
        <f t="shared" si="46"/>
        <v/>
      </c>
      <c r="U310" s="10" t="str">
        <f t="shared" si="47"/>
        <v/>
      </c>
      <c r="V310" s="10" t="str">
        <f t="shared" si="48"/>
        <v/>
      </c>
      <c r="W310" s="33" t="str">
        <f t="shared" si="49"/>
        <v/>
      </c>
    </row>
    <row r="311" spans="3:23">
      <c r="C311" s="30"/>
      <c r="I311" s="31"/>
      <c r="J311" s="16"/>
      <c r="N311" s="6" t="str">
        <f t="shared" si="40"/>
        <v/>
      </c>
      <c r="O311" s="4" t="str">
        <f t="shared" si="41"/>
        <v/>
      </c>
      <c r="P311" s="4" t="str">
        <f t="shared" si="42"/>
        <v/>
      </c>
      <c r="Q311" t="str">
        <f t="shared" si="43"/>
        <v/>
      </c>
      <c r="R311" t="str">
        <f t="shared" si="44"/>
        <v/>
      </c>
      <c r="S311" s="1" t="str">
        <f t="shared" si="45"/>
        <v>weekly</v>
      </c>
      <c r="T311" s="4" t="str">
        <f t="shared" si="46"/>
        <v/>
      </c>
      <c r="U311" s="10" t="str">
        <f t="shared" si="47"/>
        <v/>
      </c>
      <c r="V311" s="10" t="str">
        <f t="shared" si="48"/>
        <v/>
      </c>
      <c r="W311" s="33" t="str">
        <f t="shared" si="49"/>
        <v/>
      </c>
    </row>
    <row r="312" spans="3:23">
      <c r="C312" s="30"/>
      <c r="I312" s="31"/>
      <c r="J312" s="16"/>
      <c r="N312" s="6" t="str">
        <f t="shared" si="40"/>
        <v/>
      </c>
      <c r="O312" s="4" t="str">
        <f t="shared" si="41"/>
        <v/>
      </c>
      <c r="P312" s="4" t="str">
        <f t="shared" si="42"/>
        <v/>
      </c>
      <c r="Q312" t="str">
        <f t="shared" si="43"/>
        <v/>
      </c>
      <c r="R312" t="str">
        <f t="shared" si="44"/>
        <v/>
      </c>
      <c r="S312" s="1" t="str">
        <f t="shared" si="45"/>
        <v>weekly</v>
      </c>
      <c r="T312" s="4" t="str">
        <f t="shared" si="46"/>
        <v/>
      </c>
      <c r="U312" s="10" t="str">
        <f t="shared" si="47"/>
        <v/>
      </c>
      <c r="V312" s="10" t="str">
        <f t="shared" si="48"/>
        <v/>
      </c>
      <c r="W312" s="33" t="str">
        <f t="shared" si="49"/>
        <v/>
      </c>
    </row>
    <row r="313" spans="3:23">
      <c r="C313" s="30"/>
      <c r="I313" s="31"/>
      <c r="J313" s="16"/>
      <c r="N313" s="6" t="str">
        <f t="shared" si="40"/>
        <v/>
      </c>
      <c r="O313" s="4" t="str">
        <f t="shared" si="41"/>
        <v/>
      </c>
      <c r="P313" s="4" t="str">
        <f t="shared" si="42"/>
        <v/>
      </c>
      <c r="Q313" t="str">
        <f t="shared" si="43"/>
        <v/>
      </c>
      <c r="R313" t="str">
        <f t="shared" si="44"/>
        <v/>
      </c>
      <c r="S313" s="1" t="str">
        <f t="shared" si="45"/>
        <v>weekly</v>
      </c>
      <c r="T313" s="4" t="str">
        <f t="shared" si="46"/>
        <v/>
      </c>
      <c r="U313" s="10" t="str">
        <f t="shared" si="47"/>
        <v/>
      </c>
      <c r="V313" s="10" t="str">
        <f t="shared" si="48"/>
        <v/>
      </c>
      <c r="W313" s="33" t="str">
        <f t="shared" si="49"/>
        <v/>
      </c>
    </row>
    <row r="314" spans="3:23">
      <c r="C314" s="30"/>
      <c r="I314" s="31"/>
      <c r="J314" s="16"/>
      <c r="N314" s="6" t="str">
        <f t="shared" si="40"/>
        <v/>
      </c>
      <c r="O314" s="4" t="str">
        <f t="shared" si="41"/>
        <v/>
      </c>
      <c r="P314" s="4" t="str">
        <f t="shared" si="42"/>
        <v/>
      </c>
      <c r="Q314" t="str">
        <f t="shared" si="43"/>
        <v/>
      </c>
      <c r="R314" t="str">
        <f t="shared" si="44"/>
        <v/>
      </c>
      <c r="S314" s="1" t="str">
        <f t="shared" si="45"/>
        <v>weekly</v>
      </c>
      <c r="T314" s="4" t="str">
        <f t="shared" si="46"/>
        <v/>
      </c>
      <c r="U314" s="10" t="str">
        <f t="shared" si="47"/>
        <v/>
      </c>
      <c r="V314" s="10" t="str">
        <f t="shared" si="48"/>
        <v/>
      </c>
      <c r="W314" s="33" t="str">
        <f t="shared" si="49"/>
        <v/>
      </c>
    </row>
    <row r="315" spans="3:23">
      <c r="C315" s="30"/>
      <c r="I315" s="31"/>
      <c r="J315" s="16"/>
      <c r="N315" s="6" t="str">
        <f t="shared" si="40"/>
        <v/>
      </c>
      <c r="O315" s="4" t="str">
        <f t="shared" si="41"/>
        <v/>
      </c>
      <c r="P315" s="4" t="str">
        <f t="shared" si="42"/>
        <v/>
      </c>
      <c r="Q315" t="str">
        <f t="shared" si="43"/>
        <v/>
      </c>
      <c r="R315" t="str">
        <f t="shared" si="44"/>
        <v/>
      </c>
      <c r="S315" s="1" t="str">
        <f t="shared" si="45"/>
        <v>weekly</v>
      </c>
      <c r="T315" s="4" t="str">
        <f t="shared" si="46"/>
        <v/>
      </c>
      <c r="U315" s="10" t="str">
        <f t="shared" si="47"/>
        <v/>
      </c>
      <c r="V315" s="10" t="str">
        <f t="shared" si="48"/>
        <v/>
      </c>
      <c r="W315" s="33" t="str">
        <f t="shared" si="49"/>
        <v/>
      </c>
    </row>
    <row r="316" spans="3:23">
      <c r="C316" s="30"/>
      <c r="I316" s="31"/>
      <c r="J316" s="16"/>
      <c r="N316" s="6" t="str">
        <f t="shared" si="40"/>
        <v/>
      </c>
      <c r="O316" s="4" t="str">
        <f t="shared" si="41"/>
        <v/>
      </c>
      <c r="P316" s="4" t="str">
        <f t="shared" si="42"/>
        <v/>
      </c>
      <c r="Q316" t="str">
        <f t="shared" si="43"/>
        <v/>
      </c>
      <c r="R316" t="str">
        <f t="shared" si="44"/>
        <v/>
      </c>
      <c r="S316" s="1" t="str">
        <f t="shared" si="45"/>
        <v>weekly</v>
      </c>
      <c r="T316" s="4" t="str">
        <f t="shared" si="46"/>
        <v/>
      </c>
      <c r="U316" s="10" t="str">
        <f t="shared" si="47"/>
        <v/>
      </c>
      <c r="V316" s="10" t="str">
        <f t="shared" si="48"/>
        <v/>
      </c>
      <c r="W316" s="33" t="str">
        <f t="shared" si="49"/>
        <v/>
      </c>
    </row>
    <row r="317" spans="3:23">
      <c r="C317" s="30"/>
      <c r="I317" s="31"/>
      <c r="J317" s="16"/>
      <c r="N317" s="6" t="str">
        <f t="shared" si="40"/>
        <v/>
      </c>
      <c r="O317" s="4" t="str">
        <f t="shared" si="41"/>
        <v/>
      </c>
      <c r="P317" s="4" t="str">
        <f t="shared" si="42"/>
        <v/>
      </c>
      <c r="Q317" t="str">
        <f t="shared" si="43"/>
        <v/>
      </c>
      <c r="R317" t="str">
        <f t="shared" si="44"/>
        <v/>
      </c>
      <c r="S317" s="1" t="str">
        <f t="shared" si="45"/>
        <v>weekly</v>
      </c>
      <c r="T317" s="4" t="str">
        <f t="shared" si="46"/>
        <v/>
      </c>
      <c r="U317" s="10" t="str">
        <f t="shared" si="47"/>
        <v/>
      </c>
      <c r="V317" s="10" t="str">
        <f t="shared" si="48"/>
        <v/>
      </c>
      <c r="W317" s="33" t="str">
        <f t="shared" si="49"/>
        <v/>
      </c>
    </row>
    <row r="318" spans="3:23">
      <c r="C318" s="30"/>
      <c r="I318" s="31"/>
      <c r="J318" s="16"/>
      <c r="N318" s="6" t="str">
        <f t="shared" si="40"/>
        <v/>
      </c>
      <c r="O318" s="4" t="str">
        <f t="shared" si="41"/>
        <v/>
      </c>
      <c r="P318" s="4" t="str">
        <f t="shared" si="42"/>
        <v/>
      </c>
      <c r="Q318" t="str">
        <f t="shared" si="43"/>
        <v/>
      </c>
      <c r="R318" t="str">
        <f t="shared" si="44"/>
        <v/>
      </c>
      <c r="S318" s="1" t="str">
        <f t="shared" si="45"/>
        <v>weekly</v>
      </c>
      <c r="T318" s="4" t="str">
        <f t="shared" si="46"/>
        <v/>
      </c>
      <c r="U318" s="10" t="str">
        <f t="shared" si="47"/>
        <v/>
      </c>
      <c r="V318" s="10" t="str">
        <f t="shared" si="48"/>
        <v/>
      </c>
      <c r="W318" s="33" t="str">
        <f t="shared" si="49"/>
        <v/>
      </c>
    </row>
    <row r="319" spans="3:23">
      <c r="C319" s="30"/>
      <c r="I319" s="31"/>
      <c r="J319" s="16"/>
      <c r="N319" s="6" t="str">
        <f t="shared" si="40"/>
        <v/>
      </c>
      <c r="O319" s="4" t="str">
        <f t="shared" si="41"/>
        <v/>
      </c>
      <c r="P319" s="4" t="str">
        <f t="shared" si="42"/>
        <v/>
      </c>
      <c r="Q319" t="str">
        <f t="shared" si="43"/>
        <v/>
      </c>
      <c r="R319" t="str">
        <f t="shared" si="44"/>
        <v/>
      </c>
      <c r="S319" s="1" t="str">
        <f t="shared" si="45"/>
        <v>weekly</v>
      </c>
      <c r="T319" s="4" t="str">
        <f t="shared" si="46"/>
        <v/>
      </c>
      <c r="U319" s="10" t="str">
        <f t="shared" si="47"/>
        <v/>
      </c>
      <c r="V319" s="10" t="str">
        <f t="shared" si="48"/>
        <v/>
      </c>
      <c r="W319" s="33" t="str">
        <f t="shared" si="49"/>
        <v/>
      </c>
    </row>
    <row r="320" spans="3:23">
      <c r="C320" s="30"/>
      <c r="I320" s="31"/>
      <c r="J320" s="16"/>
      <c r="N320" s="6" t="str">
        <f t="shared" si="40"/>
        <v/>
      </c>
      <c r="O320" s="4" t="str">
        <f t="shared" si="41"/>
        <v/>
      </c>
      <c r="P320" s="4" t="str">
        <f t="shared" si="42"/>
        <v/>
      </c>
      <c r="Q320" t="str">
        <f t="shared" si="43"/>
        <v/>
      </c>
      <c r="R320" t="str">
        <f t="shared" si="44"/>
        <v/>
      </c>
      <c r="S320" s="1" t="str">
        <f t="shared" si="45"/>
        <v>weekly</v>
      </c>
      <c r="T320" s="4" t="str">
        <f t="shared" si="46"/>
        <v/>
      </c>
      <c r="U320" s="10" t="str">
        <f t="shared" si="47"/>
        <v/>
      </c>
      <c r="V320" s="10" t="str">
        <f t="shared" si="48"/>
        <v/>
      </c>
      <c r="W320" s="33" t="str">
        <f t="shared" si="49"/>
        <v/>
      </c>
    </row>
    <row r="321" spans="3:23">
      <c r="C321" s="30"/>
      <c r="I321" s="31"/>
      <c r="J321" s="16"/>
      <c r="N321" s="6" t="str">
        <f t="shared" si="40"/>
        <v/>
      </c>
      <c r="O321" s="4" t="str">
        <f t="shared" si="41"/>
        <v/>
      </c>
      <c r="P321" s="4" t="str">
        <f t="shared" si="42"/>
        <v/>
      </c>
      <c r="Q321" t="str">
        <f t="shared" si="43"/>
        <v/>
      </c>
      <c r="R321" t="str">
        <f t="shared" si="44"/>
        <v/>
      </c>
      <c r="S321" s="1" t="str">
        <f t="shared" si="45"/>
        <v>weekly</v>
      </c>
      <c r="T321" s="4" t="str">
        <f t="shared" si="46"/>
        <v/>
      </c>
      <c r="U321" s="10" t="str">
        <f t="shared" si="47"/>
        <v/>
      </c>
      <c r="V321" s="10" t="str">
        <f t="shared" si="48"/>
        <v/>
      </c>
      <c r="W321" s="33" t="str">
        <f t="shared" si="49"/>
        <v/>
      </c>
    </row>
    <row r="322" spans="3:23">
      <c r="C322" s="30"/>
      <c r="I322" s="31"/>
      <c r="J322" s="16"/>
      <c r="N322" s="6" t="str">
        <f t="shared" ref="N322:N365" si="50">IF(D322="","",TIMEVALUE(D322))</f>
        <v/>
      </c>
      <c r="O322" s="4" t="str">
        <f t="shared" ref="O322:O365" si="51">IF(D322="","",HOUR(D322)*60 + MINUTE(D322) + SECOND(D322)/60)</f>
        <v/>
      </c>
      <c r="P322" s="4" t="str">
        <f t="shared" ref="P322:P375" si="52">IF(O322="","",O322/E322)</f>
        <v/>
      </c>
      <c r="Q322" t="str">
        <f t="shared" ref="Q322:Q365" si="53">IF(O322="", "", IF(MOD(P322,1)*60&gt;=59.5, TEXT(INT(P322)+1, "0") &amp; ":00", TEXT(INT(P322), "0") &amp; ":" &amp; TEXT(ROUND(MOD(P322,1)*60, 0), "00")))</f>
        <v/>
      </c>
      <c r="R322" t="str">
        <f t="shared" ref="R322:R372" si="54">IF(A322&lt;&gt;"",A322,"")</f>
        <v/>
      </c>
      <c r="S322" s="1" t="str">
        <f t="shared" ref="S322:S365" si="55">IFERROR(IF(ISBLANK(C322), S321,INDEX($C$2:$C$365, MATCH(R322,$R$2:$R$365, 0)) - WEEKDAY(INDEX($C$2:$C$365, MATCH(R322,$R$2:$R$365, 0)), 2) + 1), "")</f>
        <v>weekly</v>
      </c>
      <c r="T322" s="4" t="str">
        <f t="shared" ref="T322:T365" si="56">IF(S322="","",IF(S322=S321, "", SUMIFS(E:E,S:S, S322)))</f>
        <v/>
      </c>
      <c r="U322" s="10" t="str">
        <f t="shared" ref="U322:U365" si="57">IF(S322="","",IF(S322=S321, "", SUMIFS(N:N,S:S, S322)))</f>
        <v/>
      </c>
      <c r="V322" s="10" t="str">
        <f t="shared" ref="V322:V365" si="58">IF(S322="","",IF(S322=S321, "", AVERAGEIF(S:S,S322,J:J)))</f>
        <v/>
      </c>
      <c r="W322" s="33" t="str">
        <f t="shared" ref="W322:W365" si="59">IF(S322="","",IF(S322=S321, "", AVERAGEIF(S:S,S322,K:K)))</f>
        <v/>
      </c>
    </row>
    <row r="323" spans="3:23">
      <c r="C323" s="30"/>
      <c r="I323" s="31"/>
      <c r="J323" s="16"/>
      <c r="N323" s="6" t="str">
        <f t="shared" si="50"/>
        <v/>
      </c>
      <c r="O323" s="4" t="str">
        <f t="shared" si="51"/>
        <v/>
      </c>
      <c r="P323" s="4" t="str">
        <f t="shared" si="52"/>
        <v/>
      </c>
      <c r="Q323" t="str">
        <f t="shared" si="53"/>
        <v/>
      </c>
      <c r="R323" t="str">
        <f t="shared" si="54"/>
        <v/>
      </c>
      <c r="S323" s="1" t="str">
        <f t="shared" si="55"/>
        <v>weekly</v>
      </c>
      <c r="T323" s="4" t="str">
        <f t="shared" si="56"/>
        <v/>
      </c>
      <c r="U323" s="10" t="str">
        <f t="shared" si="57"/>
        <v/>
      </c>
      <c r="V323" s="10" t="str">
        <f t="shared" si="58"/>
        <v/>
      </c>
      <c r="W323" s="33" t="str">
        <f t="shared" si="59"/>
        <v/>
      </c>
    </row>
    <row r="324" spans="3:23">
      <c r="C324" s="30"/>
      <c r="I324" s="31"/>
      <c r="J324" s="16"/>
      <c r="N324" s="6" t="str">
        <f t="shared" si="50"/>
        <v/>
      </c>
      <c r="O324" s="4" t="str">
        <f t="shared" si="51"/>
        <v/>
      </c>
      <c r="P324" s="4" t="str">
        <f t="shared" si="52"/>
        <v/>
      </c>
      <c r="Q324" t="str">
        <f t="shared" si="53"/>
        <v/>
      </c>
      <c r="R324" t="str">
        <f t="shared" si="54"/>
        <v/>
      </c>
      <c r="S324" s="1" t="str">
        <f t="shared" si="55"/>
        <v>weekly</v>
      </c>
      <c r="T324" s="4" t="str">
        <f t="shared" si="56"/>
        <v/>
      </c>
      <c r="U324" s="10" t="str">
        <f t="shared" si="57"/>
        <v/>
      </c>
      <c r="V324" s="10" t="str">
        <f t="shared" si="58"/>
        <v/>
      </c>
      <c r="W324" s="33" t="str">
        <f t="shared" si="59"/>
        <v/>
      </c>
    </row>
    <row r="325" spans="3:23">
      <c r="C325" s="30"/>
      <c r="I325" s="31"/>
      <c r="J325" s="16"/>
      <c r="N325" s="6" t="str">
        <f t="shared" si="50"/>
        <v/>
      </c>
      <c r="O325" s="4" t="str">
        <f t="shared" si="51"/>
        <v/>
      </c>
      <c r="P325" s="4" t="str">
        <f t="shared" si="52"/>
        <v/>
      </c>
      <c r="Q325" t="str">
        <f t="shared" si="53"/>
        <v/>
      </c>
      <c r="R325" t="str">
        <f t="shared" si="54"/>
        <v/>
      </c>
      <c r="S325" s="1" t="str">
        <f t="shared" si="55"/>
        <v>weekly</v>
      </c>
      <c r="T325" s="4" t="str">
        <f t="shared" si="56"/>
        <v/>
      </c>
      <c r="U325" s="10" t="str">
        <f t="shared" si="57"/>
        <v/>
      </c>
      <c r="V325" s="10" t="str">
        <f t="shared" si="58"/>
        <v/>
      </c>
      <c r="W325" s="33" t="str">
        <f t="shared" si="59"/>
        <v/>
      </c>
    </row>
    <row r="326" spans="3:23">
      <c r="C326" s="30"/>
      <c r="I326" s="31"/>
      <c r="J326" s="16"/>
      <c r="N326" s="6" t="str">
        <f t="shared" si="50"/>
        <v/>
      </c>
      <c r="O326" s="4" t="str">
        <f t="shared" si="51"/>
        <v/>
      </c>
      <c r="P326" s="4" t="str">
        <f t="shared" si="52"/>
        <v/>
      </c>
      <c r="Q326" t="str">
        <f t="shared" si="53"/>
        <v/>
      </c>
      <c r="R326" t="str">
        <f t="shared" si="54"/>
        <v/>
      </c>
      <c r="S326" s="1" t="str">
        <f t="shared" si="55"/>
        <v>weekly</v>
      </c>
      <c r="T326" s="4" t="str">
        <f t="shared" si="56"/>
        <v/>
      </c>
      <c r="U326" s="10" t="str">
        <f t="shared" si="57"/>
        <v/>
      </c>
      <c r="V326" s="10" t="str">
        <f t="shared" si="58"/>
        <v/>
      </c>
      <c r="W326" s="33" t="str">
        <f t="shared" si="59"/>
        <v/>
      </c>
    </row>
    <row r="327" spans="3:23">
      <c r="C327" s="30"/>
      <c r="I327" s="31"/>
      <c r="J327" s="16"/>
      <c r="N327" s="6" t="str">
        <f t="shared" si="50"/>
        <v/>
      </c>
      <c r="O327" s="4" t="str">
        <f t="shared" si="51"/>
        <v/>
      </c>
      <c r="P327" s="4" t="str">
        <f t="shared" si="52"/>
        <v/>
      </c>
      <c r="Q327" t="str">
        <f t="shared" si="53"/>
        <v/>
      </c>
      <c r="R327" t="str">
        <f t="shared" si="54"/>
        <v/>
      </c>
      <c r="S327" s="1" t="str">
        <f t="shared" si="55"/>
        <v>weekly</v>
      </c>
      <c r="T327" s="4" t="str">
        <f t="shared" si="56"/>
        <v/>
      </c>
      <c r="U327" s="10" t="str">
        <f t="shared" si="57"/>
        <v/>
      </c>
      <c r="V327" s="10" t="str">
        <f t="shared" si="58"/>
        <v/>
      </c>
      <c r="W327" s="33" t="str">
        <f t="shared" si="59"/>
        <v/>
      </c>
    </row>
    <row r="328" spans="3:23">
      <c r="C328" s="30"/>
      <c r="I328" s="31"/>
      <c r="J328" s="16"/>
      <c r="N328" s="6" t="str">
        <f t="shared" si="50"/>
        <v/>
      </c>
      <c r="O328" s="4" t="str">
        <f t="shared" si="51"/>
        <v/>
      </c>
      <c r="P328" s="4" t="str">
        <f t="shared" si="52"/>
        <v/>
      </c>
      <c r="Q328" t="str">
        <f t="shared" si="53"/>
        <v/>
      </c>
      <c r="R328" t="str">
        <f t="shared" si="54"/>
        <v/>
      </c>
      <c r="S328" s="1" t="str">
        <f t="shared" si="55"/>
        <v>weekly</v>
      </c>
      <c r="T328" s="4" t="str">
        <f t="shared" si="56"/>
        <v/>
      </c>
      <c r="U328" s="10" t="str">
        <f t="shared" si="57"/>
        <v/>
      </c>
      <c r="V328" s="10" t="str">
        <f t="shared" si="58"/>
        <v/>
      </c>
      <c r="W328" s="33" t="str">
        <f t="shared" si="59"/>
        <v/>
      </c>
    </row>
    <row r="329" spans="3:23">
      <c r="C329" s="30"/>
      <c r="I329" s="31"/>
      <c r="J329" s="16"/>
      <c r="N329" s="6" t="str">
        <f t="shared" si="50"/>
        <v/>
      </c>
      <c r="O329" s="4" t="str">
        <f t="shared" si="51"/>
        <v/>
      </c>
      <c r="P329" s="4" t="str">
        <f t="shared" si="52"/>
        <v/>
      </c>
      <c r="Q329" t="str">
        <f t="shared" si="53"/>
        <v/>
      </c>
      <c r="R329" t="str">
        <f t="shared" si="54"/>
        <v/>
      </c>
      <c r="S329" s="1" t="str">
        <f t="shared" si="55"/>
        <v>weekly</v>
      </c>
      <c r="T329" s="4" t="str">
        <f t="shared" si="56"/>
        <v/>
      </c>
      <c r="U329" s="10" t="str">
        <f t="shared" si="57"/>
        <v/>
      </c>
      <c r="V329" s="10" t="str">
        <f t="shared" si="58"/>
        <v/>
      </c>
      <c r="W329" s="33" t="str">
        <f t="shared" si="59"/>
        <v/>
      </c>
    </row>
    <row r="330" spans="3:23">
      <c r="C330" s="30"/>
      <c r="I330" s="31"/>
      <c r="J330" s="16"/>
      <c r="N330" s="6" t="str">
        <f t="shared" si="50"/>
        <v/>
      </c>
      <c r="O330" s="4" t="str">
        <f t="shared" si="51"/>
        <v/>
      </c>
      <c r="P330" s="4" t="str">
        <f t="shared" si="52"/>
        <v/>
      </c>
      <c r="Q330" t="str">
        <f t="shared" si="53"/>
        <v/>
      </c>
      <c r="R330" t="str">
        <f t="shared" si="54"/>
        <v/>
      </c>
      <c r="S330" s="1" t="str">
        <f t="shared" si="55"/>
        <v>weekly</v>
      </c>
      <c r="T330" s="4" t="str">
        <f t="shared" si="56"/>
        <v/>
      </c>
      <c r="U330" s="10" t="str">
        <f t="shared" si="57"/>
        <v/>
      </c>
      <c r="V330" s="10" t="str">
        <f t="shared" si="58"/>
        <v/>
      </c>
      <c r="W330" s="33" t="str">
        <f t="shared" si="59"/>
        <v/>
      </c>
    </row>
    <row r="331" spans="3:23">
      <c r="C331" s="30"/>
      <c r="I331" s="31"/>
      <c r="J331" s="16"/>
      <c r="N331" s="6" t="str">
        <f t="shared" si="50"/>
        <v/>
      </c>
      <c r="O331" s="4" t="str">
        <f t="shared" si="51"/>
        <v/>
      </c>
      <c r="P331" s="4" t="str">
        <f t="shared" si="52"/>
        <v/>
      </c>
      <c r="Q331" t="str">
        <f t="shared" si="53"/>
        <v/>
      </c>
      <c r="R331" t="str">
        <f t="shared" si="54"/>
        <v/>
      </c>
      <c r="S331" s="1" t="str">
        <f t="shared" si="55"/>
        <v>weekly</v>
      </c>
      <c r="T331" s="4" t="str">
        <f t="shared" si="56"/>
        <v/>
      </c>
      <c r="U331" s="10" t="str">
        <f t="shared" si="57"/>
        <v/>
      </c>
      <c r="V331" s="10" t="str">
        <f t="shared" si="58"/>
        <v/>
      </c>
      <c r="W331" s="33" t="str">
        <f t="shared" si="59"/>
        <v/>
      </c>
    </row>
    <row r="332" spans="3:23">
      <c r="C332" s="30"/>
      <c r="I332" s="31"/>
      <c r="J332" s="16"/>
      <c r="N332" s="6" t="str">
        <f t="shared" si="50"/>
        <v/>
      </c>
      <c r="O332" s="4" t="str">
        <f t="shared" si="51"/>
        <v/>
      </c>
      <c r="P332" s="4" t="str">
        <f t="shared" si="52"/>
        <v/>
      </c>
      <c r="Q332" t="str">
        <f t="shared" si="53"/>
        <v/>
      </c>
      <c r="R332" t="str">
        <f t="shared" si="54"/>
        <v/>
      </c>
      <c r="S332" s="1" t="str">
        <f t="shared" si="55"/>
        <v>weekly</v>
      </c>
      <c r="T332" s="4" t="str">
        <f t="shared" si="56"/>
        <v/>
      </c>
      <c r="U332" s="10" t="str">
        <f t="shared" si="57"/>
        <v/>
      </c>
      <c r="V332" s="10" t="str">
        <f t="shared" si="58"/>
        <v/>
      </c>
      <c r="W332" s="33" t="str">
        <f t="shared" si="59"/>
        <v/>
      </c>
    </row>
    <row r="333" spans="3:23">
      <c r="C333" s="30"/>
      <c r="I333" s="31"/>
      <c r="J333" s="16"/>
      <c r="N333" s="6" t="str">
        <f t="shared" si="50"/>
        <v/>
      </c>
      <c r="O333" s="4" t="str">
        <f t="shared" si="51"/>
        <v/>
      </c>
      <c r="P333" s="4" t="str">
        <f t="shared" si="52"/>
        <v/>
      </c>
      <c r="Q333" t="str">
        <f t="shared" si="53"/>
        <v/>
      </c>
      <c r="R333" t="str">
        <f t="shared" si="54"/>
        <v/>
      </c>
      <c r="S333" s="1" t="str">
        <f t="shared" si="55"/>
        <v>weekly</v>
      </c>
      <c r="T333" s="4" t="str">
        <f t="shared" si="56"/>
        <v/>
      </c>
      <c r="U333" s="10" t="str">
        <f t="shared" si="57"/>
        <v/>
      </c>
      <c r="V333" s="10" t="str">
        <f t="shared" si="58"/>
        <v/>
      </c>
      <c r="W333" s="33" t="str">
        <f t="shared" si="59"/>
        <v/>
      </c>
    </row>
    <row r="334" spans="3:23">
      <c r="C334" s="30"/>
      <c r="I334" s="31"/>
      <c r="J334" s="16"/>
      <c r="N334" s="6" t="str">
        <f t="shared" si="50"/>
        <v/>
      </c>
      <c r="O334" s="4" t="str">
        <f t="shared" si="51"/>
        <v/>
      </c>
      <c r="P334" s="4" t="str">
        <f t="shared" si="52"/>
        <v/>
      </c>
      <c r="Q334" t="str">
        <f t="shared" si="53"/>
        <v/>
      </c>
      <c r="R334" t="str">
        <f t="shared" si="54"/>
        <v/>
      </c>
      <c r="S334" s="1" t="str">
        <f t="shared" si="55"/>
        <v>weekly</v>
      </c>
      <c r="T334" s="4" t="str">
        <f t="shared" si="56"/>
        <v/>
      </c>
      <c r="U334" s="10" t="str">
        <f t="shared" si="57"/>
        <v/>
      </c>
      <c r="V334" s="10" t="str">
        <f t="shared" si="58"/>
        <v/>
      </c>
      <c r="W334" s="33" t="str">
        <f t="shared" si="59"/>
        <v/>
      </c>
    </row>
    <row r="335" spans="3:23">
      <c r="C335" s="30"/>
      <c r="I335" s="31"/>
      <c r="J335" s="16"/>
      <c r="N335" s="6" t="str">
        <f t="shared" si="50"/>
        <v/>
      </c>
      <c r="O335" s="4" t="str">
        <f t="shared" si="51"/>
        <v/>
      </c>
      <c r="P335" s="4" t="str">
        <f t="shared" si="52"/>
        <v/>
      </c>
      <c r="Q335" t="str">
        <f t="shared" si="53"/>
        <v/>
      </c>
      <c r="R335" t="str">
        <f t="shared" si="54"/>
        <v/>
      </c>
      <c r="S335" s="1" t="str">
        <f t="shared" si="55"/>
        <v>weekly</v>
      </c>
      <c r="T335" s="4" t="str">
        <f t="shared" si="56"/>
        <v/>
      </c>
      <c r="U335" s="10" t="str">
        <f t="shared" si="57"/>
        <v/>
      </c>
      <c r="V335" s="10" t="str">
        <f t="shared" si="58"/>
        <v/>
      </c>
      <c r="W335" s="33" t="str">
        <f t="shared" si="59"/>
        <v/>
      </c>
    </row>
    <row r="336" spans="3:23">
      <c r="C336" s="30"/>
      <c r="I336" s="31"/>
      <c r="J336" s="16"/>
      <c r="N336" s="6" t="str">
        <f t="shared" si="50"/>
        <v/>
      </c>
      <c r="O336" s="4" t="str">
        <f t="shared" si="51"/>
        <v/>
      </c>
      <c r="P336" s="4" t="str">
        <f t="shared" si="52"/>
        <v/>
      </c>
      <c r="Q336" t="str">
        <f t="shared" si="53"/>
        <v/>
      </c>
      <c r="R336" t="str">
        <f t="shared" si="54"/>
        <v/>
      </c>
      <c r="S336" s="1" t="str">
        <f t="shared" si="55"/>
        <v>weekly</v>
      </c>
      <c r="T336" s="4" t="str">
        <f t="shared" si="56"/>
        <v/>
      </c>
      <c r="U336" s="10" t="str">
        <f t="shared" si="57"/>
        <v/>
      </c>
      <c r="V336" s="10" t="str">
        <f t="shared" si="58"/>
        <v/>
      </c>
      <c r="W336" s="33" t="str">
        <f t="shared" si="59"/>
        <v/>
      </c>
    </row>
    <row r="337" spans="3:23">
      <c r="C337" s="30"/>
      <c r="I337" s="31"/>
      <c r="J337" s="16"/>
      <c r="N337" s="6" t="str">
        <f t="shared" si="50"/>
        <v/>
      </c>
      <c r="O337" s="4" t="str">
        <f t="shared" si="51"/>
        <v/>
      </c>
      <c r="P337" s="4" t="str">
        <f t="shared" si="52"/>
        <v/>
      </c>
      <c r="Q337" t="str">
        <f t="shared" si="53"/>
        <v/>
      </c>
      <c r="R337" t="str">
        <f t="shared" si="54"/>
        <v/>
      </c>
      <c r="S337" s="1" t="str">
        <f t="shared" si="55"/>
        <v>weekly</v>
      </c>
      <c r="T337" s="4" t="str">
        <f t="shared" si="56"/>
        <v/>
      </c>
      <c r="U337" s="10" t="str">
        <f t="shared" si="57"/>
        <v/>
      </c>
      <c r="V337" s="10" t="str">
        <f t="shared" si="58"/>
        <v/>
      </c>
      <c r="W337" s="33" t="str">
        <f t="shared" si="59"/>
        <v/>
      </c>
    </row>
    <row r="338" spans="3:23">
      <c r="C338" s="30"/>
      <c r="I338" s="31"/>
      <c r="J338" s="16"/>
      <c r="N338" s="6" t="str">
        <f t="shared" si="50"/>
        <v/>
      </c>
      <c r="O338" s="4" t="str">
        <f t="shared" si="51"/>
        <v/>
      </c>
      <c r="P338" s="4" t="str">
        <f t="shared" si="52"/>
        <v/>
      </c>
      <c r="Q338" t="str">
        <f t="shared" si="53"/>
        <v/>
      </c>
      <c r="R338" t="str">
        <f t="shared" si="54"/>
        <v/>
      </c>
      <c r="S338" s="1" t="str">
        <f t="shared" si="55"/>
        <v>weekly</v>
      </c>
      <c r="T338" s="4" t="str">
        <f t="shared" si="56"/>
        <v/>
      </c>
      <c r="U338" s="10" t="str">
        <f t="shared" si="57"/>
        <v/>
      </c>
      <c r="V338" s="10" t="str">
        <f t="shared" si="58"/>
        <v/>
      </c>
      <c r="W338" s="33" t="str">
        <f t="shared" si="59"/>
        <v/>
      </c>
    </row>
    <row r="339" spans="3:23">
      <c r="C339" s="30"/>
      <c r="I339" s="31"/>
      <c r="J339" s="16"/>
      <c r="N339" s="6" t="str">
        <f t="shared" si="50"/>
        <v/>
      </c>
      <c r="O339" s="4" t="str">
        <f t="shared" si="51"/>
        <v/>
      </c>
      <c r="P339" s="4" t="str">
        <f t="shared" si="52"/>
        <v/>
      </c>
      <c r="Q339" t="str">
        <f t="shared" si="53"/>
        <v/>
      </c>
      <c r="R339" t="str">
        <f t="shared" si="54"/>
        <v/>
      </c>
      <c r="S339" s="1" t="str">
        <f t="shared" si="55"/>
        <v>weekly</v>
      </c>
      <c r="T339" s="4" t="str">
        <f t="shared" si="56"/>
        <v/>
      </c>
      <c r="U339" s="10" t="str">
        <f t="shared" si="57"/>
        <v/>
      </c>
      <c r="V339" s="10" t="str">
        <f t="shared" si="58"/>
        <v/>
      </c>
      <c r="W339" s="33" t="str">
        <f t="shared" si="59"/>
        <v/>
      </c>
    </row>
    <row r="340" spans="3:23">
      <c r="C340" s="30"/>
      <c r="I340" s="31"/>
      <c r="J340" s="16"/>
      <c r="N340" s="6" t="str">
        <f t="shared" si="50"/>
        <v/>
      </c>
      <c r="O340" s="4" t="str">
        <f t="shared" si="51"/>
        <v/>
      </c>
      <c r="P340" s="4" t="str">
        <f t="shared" si="52"/>
        <v/>
      </c>
      <c r="Q340" t="str">
        <f t="shared" si="53"/>
        <v/>
      </c>
      <c r="R340" t="str">
        <f t="shared" si="54"/>
        <v/>
      </c>
      <c r="S340" s="1" t="str">
        <f t="shared" si="55"/>
        <v>weekly</v>
      </c>
      <c r="T340" s="4" t="str">
        <f t="shared" si="56"/>
        <v/>
      </c>
      <c r="U340" s="10" t="str">
        <f t="shared" si="57"/>
        <v/>
      </c>
      <c r="V340" s="10" t="str">
        <f t="shared" si="58"/>
        <v/>
      </c>
      <c r="W340" s="33" t="str">
        <f t="shared" si="59"/>
        <v/>
      </c>
    </row>
    <row r="341" spans="3:23">
      <c r="C341" s="30"/>
      <c r="I341" s="31"/>
      <c r="J341" s="16"/>
      <c r="N341" s="6" t="str">
        <f t="shared" si="50"/>
        <v/>
      </c>
      <c r="O341" s="4" t="str">
        <f t="shared" si="51"/>
        <v/>
      </c>
      <c r="P341" s="4" t="str">
        <f t="shared" si="52"/>
        <v/>
      </c>
      <c r="Q341" t="str">
        <f t="shared" si="53"/>
        <v/>
      </c>
      <c r="R341" t="str">
        <f t="shared" si="54"/>
        <v/>
      </c>
      <c r="S341" s="1" t="str">
        <f t="shared" si="55"/>
        <v>weekly</v>
      </c>
      <c r="T341" s="4" t="str">
        <f t="shared" si="56"/>
        <v/>
      </c>
      <c r="U341" s="10" t="str">
        <f t="shared" si="57"/>
        <v/>
      </c>
      <c r="V341" s="10" t="str">
        <f t="shared" si="58"/>
        <v/>
      </c>
      <c r="W341" s="33" t="str">
        <f t="shared" si="59"/>
        <v/>
      </c>
    </row>
    <row r="342" spans="3:23">
      <c r="C342" s="30"/>
      <c r="I342" s="31"/>
      <c r="J342" s="16"/>
      <c r="N342" s="6" t="str">
        <f t="shared" si="50"/>
        <v/>
      </c>
      <c r="O342" s="4" t="str">
        <f t="shared" si="51"/>
        <v/>
      </c>
      <c r="P342" s="4" t="str">
        <f t="shared" si="52"/>
        <v/>
      </c>
      <c r="Q342" t="str">
        <f t="shared" si="53"/>
        <v/>
      </c>
      <c r="R342" t="str">
        <f t="shared" si="54"/>
        <v/>
      </c>
      <c r="S342" s="1" t="str">
        <f t="shared" si="55"/>
        <v>weekly</v>
      </c>
      <c r="T342" s="4" t="str">
        <f t="shared" si="56"/>
        <v/>
      </c>
      <c r="U342" s="10" t="str">
        <f t="shared" si="57"/>
        <v/>
      </c>
      <c r="V342" s="10" t="str">
        <f t="shared" si="58"/>
        <v/>
      </c>
      <c r="W342" s="33" t="str">
        <f t="shared" si="59"/>
        <v/>
      </c>
    </row>
    <row r="343" spans="3:23">
      <c r="C343" s="30"/>
      <c r="I343" s="31"/>
      <c r="J343" s="16"/>
      <c r="N343" s="6" t="str">
        <f t="shared" si="50"/>
        <v/>
      </c>
      <c r="O343" s="4" t="str">
        <f t="shared" si="51"/>
        <v/>
      </c>
      <c r="P343" s="4" t="str">
        <f t="shared" si="52"/>
        <v/>
      </c>
      <c r="Q343" t="str">
        <f t="shared" si="53"/>
        <v/>
      </c>
      <c r="R343" t="str">
        <f t="shared" si="54"/>
        <v/>
      </c>
      <c r="S343" s="1" t="str">
        <f t="shared" si="55"/>
        <v>weekly</v>
      </c>
      <c r="T343" s="4" t="str">
        <f t="shared" si="56"/>
        <v/>
      </c>
      <c r="U343" s="10" t="str">
        <f t="shared" si="57"/>
        <v/>
      </c>
      <c r="V343" s="10" t="str">
        <f t="shared" si="58"/>
        <v/>
      </c>
      <c r="W343" s="33" t="str">
        <f t="shared" si="59"/>
        <v/>
      </c>
    </row>
    <row r="344" spans="3:23">
      <c r="C344" s="30"/>
      <c r="I344" s="31"/>
      <c r="J344" s="16"/>
      <c r="N344" s="6" t="str">
        <f t="shared" si="50"/>
        <v/>
      </c>
      <c r="O344" s="4" t="str">
        <f t="shared" si="51"/>
        <v/>
      </c>
      <c r="P344" s="4" t="str">
        <f t="shared" si="52"/>
        <v/>
      </c>
      <c r="Q344" t="str">
        <f t="shared" si="53"/>
        <v/>
      </c>
      <c r="R344" t="str">
        <f t="shared" si="54"/>
        <v/>
      </c>
      <c r="S344" s="1" t="str">
        <f t="shared" si="55"/>
        <v>weekly</v>
      </c>
      <c r="T344" s="4" t="str">
        <f t="shared" si="56"/>
        <v/>
      </c>
      <c r="U344" s="10" t="str">
        <f t="shared" si="57"/>
        <v/>
      </c>
      <c r="V344" s="10" t="str">
        <f t="shared" si="58"/>
        <v/>
      </c>
      <c r="W344" s="33" t="str">
        <f t="shared" si="59"/>
        <v/>
      </c>
    </row>
    <row r="345" spans="3:23">
      <c r="C345" s="30"/>
      <c r="I345" s="31"/>
      <c r="J345" s="16"/>
      <c r="N345" s="6" t="str">
        <f t="shared" si="50"/>
        <v/>
      </c>
      <c r="O345" s="4" t="str">
        <f t="shared" si="51"/>
        <v/>
      </c>
      <c r="P345" s="4" t="str">
        <f t="shared" si="52"/>
        <v/>
      </c>
      <c r="Q345" t="str">
        <f t="shared" si="53"/>
        <v/>
      </c>
      <c r="R345" t="str">
        <f t="shared" si="54"/>
        <v/>
      </c>
      <c r="S345" s="1" t="str">
        <f t="shared" si="55"/>
        <v>weekly</v>
      </c>
      <c r="T345" s="4" t="str">
        <f t="shared" si="56"/>
        <v/>
      </c>
      <c r="U345" s="10" t="str">
        <f t="shared" si="57"/>
        <v/>
      </c>
      <c r="V345" s="10" t="str">
        <f t="shared" si="58"/>
        <v/>
      </c>
      <c r="W345" s="33" t="str">
        <f t="shared" si="59"/>
        <v/>
      </c>
    </row>
    <row r="346" spans="3:23">
      <c r="I346" s="31"/>
      <c r="J346" s="16" t="str">
        <f t="shared" ref="J346:J365" si="60">IF(Q346="", "", TIMEVALUE("0:" &amp; Q346))</f>
        <v/>
      </c>
      <c r="N346" s="6" t="str">
        <f t="shared" si="50"/>
        <v/>
      </c>
      <c r="O346" s="4" t="str">
        <f t="shared" si="51"/>
        <v/>
      </c>
      <c r="P346" s="4" t="str">
        <f t="shared" si="52"/>
        <v/>
      </c>
      <c r="Q346" t="str">
        <f t="shared" si="53"/>
        <v/>
      </c>
      <c r="R346" t="str">
        <f t="shared" si="54"/>
        <v/>
      </c>
      <c r="S346" s="1" t="str">
        <f t="shared" si="55"/>
        <v>weekly</v>
      </c>
      <c r="T346" s="4" t="str">
        <f t="shared" si="56"/>
        <v/>
      </c>
      <c r="U346" s="10" t="str">
        <f t="shared" si="57"/>
        <v/>
      </c>
      <c r="V346" s="10" t="str">
        <f t="shared" si="58"/>
        <v/>
      </c>
      <c r="W346" s="33" t="str">
        <f t="shared" si="59"/>
        <v/>
      </c>
    </row>
    <row r="347" spans="3:23">
      <c r="I347" s="31"/>
      <c r="J347" s="16" t="str">
        <f t="shared" si="60"/>
        <v/>
      </c>
      <c r="N347" s="6" t="str">
        <f t="shared" si="50"/>
        <v/>
      </c>
      <c r="O347" s="4" t="str">
        <f t="shared" si="51"/>
        <v/>
      </c>
      <c r="P347" s="4" t="str">
        <f t="shared" si="52"/>
        <v/>
      </c>
      <c r="Q347" t="str">
        <f t="shared" si="53"/>
        <v/>
      </c>
      <c r="R347" t="str">
        <f t="shared" si="54"/>
        <v/>
      </c>
      <c r="S347" s="1" t="str">
        <f t="shared" si="55"/>
        <v>weekly</v>
      </c>
      <c r="T347" s="4" t="str">
        <f t="shared" si="56"/>
        <v/>
      </c>
      <c r="U347" s="10" t="str">
        <f t="shared" si="57"/>
        <v/>
      </c>
      <c r="V347" s="10" t="str">
        <f t="shared" si="58"/>
        <v/>
      </c>
      <c r="W347" s="33" t="str">
        <f t="shared" si="59"/>
        <v/>
      </c>
    </row>
    <row r="348" spans="3:23">
      <c r="I348" s="31"/>
      <c r="J348" s="16" t="str">
        <f t="shared" si="60"/>
        <v/>
      </c>
      <c r="N348" s="6" t="str">
        <f t="shared" si="50"/>
        <v/>
      </c>
      <c r="O348" s="4" t="str">
        <f t="shared" si="51"/>
        <v/>
      </c>
      <c r="P348" s="4" t="str">
        <f t="shared" si="52"/>
        <v/>
      </c>
      <c r="Q348" t="str">
        <f t="shared" si="53"/>
        <v/>
      </c>
      <c r="R348" t="str">
        <f t="shared" si="54"/>
        <v/>
      </c>
      <c r="S348" s="1" t="str">
        <f t="shared" si="55"/>
        <v>weekly</v>
      </c>
      <c r="T348" s="4" t="str">
        <f t="shared" si="56"/>
        <v/>
      </c>
      <c r="U348" s="10" t="str">
        <f t="shared" si="57"/>
        <v/>
      </c>
      <c r="V348" s="10" t="str">
        <f t="shared" si="58"/>
        <v/>
      </c>
      <c r="W348" s="33" t="str">
        <f t="shared" si="59"/>
        <v/>
      </c>
    </row>
    <row r="349" spans="3:23">
      <c r="I349" s="31"/>
      <c r="J349" s="16" t="str">
        <f t="shared" si="60"/>
        <v/>
      </c>
      <c r="N349" s="6" t="str">
        <f t="shared" si="50"/>
        <v/>
      </c>
      <c r="O349" s="4" t="str">
        <f t="shared" si="51"/>
        <v/>
      </c>
      <c r="P349" s="4" t="str">
        <f t="shared" si="52"/>
        <v/>
      </c>
      <c r="Q349" t="str">
        <f t="shared" si="53"/>
        <v/>
      </c>
      <c r="R349" t="str">
        <f t="shared" si="54"/>
        <v/>
      </c>
      <c r="S349" s="1" t="str">
        <f t="shared" si="55"/>
        <v>weekly</v>
      </c>
      <c r="T349" s="4" t="str">
        <f t="shared" si="56"/>
        <v/>
      </c>
      <c r="U349" s="10" t="str">
        <f t="shared" si="57"/>
        <v/>
      </c>
      <c r="V349" s="10" t="str">
        <f t="shared" si="58"/>
        <v/>
      </c>
      <c r="W349" s="33" t="str">
        <f t="shared" si="59"/>
        <v/>
      </c>
    </row>
    <row r="350" spans="3:23">
      <c r="I350" s="31"/>
      <c r="J350" s="16" t="str">
        <f t="shared" si="60"/>
        <v/>
      </c>
      <c r="N350" s="6" t="str">
        <f t="shared" si="50"/>
        <v/>
      </c>
      <c r="O350" s="4" t="str">
        <f t="shared" si="51"/>
        <v/>
      </c>
      <c r="P350" s="4" t="str">
        <f t="shared" si="52"/>
        <v/>
      </c>
      <c r="Q350" t="str">
        <f t="shared" si="53"/>
        <v/>
      </c>
      <c r="R350" t="str">
        <f t="shared" si="54"/>
        <v/>
      </c>
      <c r="S350" s="1" t="str">
        <f t="shared" si="55"/>
        <v>weekly</v>
      </c>
      <c r="T350" s="4" t="str">
        <f t="shared" si="56"/>
        <v/>
      </c>
      <c r="U350" s="10" t="str">
        <f t="shared" si="57"/>
        <v/>
      </c>
      <c r="V350" s="10" t="str">
        <f t="shared" si="58"/>
        <v/>
      </c>
      <c r="W350" s="33" t="str">
        <f t="shared" si="59"/>
        <v/>
      </c>
    </row>
    <row r="351" spans="3:23">
      <c r="I351" s="31"/>
      <c r="J351" s="16" t="str">
        <f t="shared" si="60"/>
        <v/>
      </c>
      <c r="N351" s="6" t="str">
        <f t="shared" si="50"/>
        <v/>
      </c>
      <c r="O351" s="4" t="str">
        <f t="shared" si="51"/>
        <v/>
      </c>
      <c r="P351" s="4" t="str">
        <f t="shared" si="52"/>
        <v/>
      </c>
      <c r="Q351" t="str">
        <f t="shared" si="53"/>
        <v/>
      </c>
      <c r="R351" t="str">
        <f t="shared" si="54"/>
        <v/>
      </c>
      <c r="S351" s="1" t="str">
        <f t="shared" si="55"/>
        <v>weekly</v>
      </c>
      <c r="T351" s="4" t="str">
        <f t="shared" si="56"/>
        <v/>
      </c>
      <c r="U351" s="10" t="str">
        <f t="shared" si="57"/>
        <v/>
      </c>
      <c r="V351" s="10" t="str">
        <f t="shared" si="58"/>
        <v/>
      </c>
      <c r="W351" s="33" t="str">
        <f t="shared" si="59"/>
        <v/>
      </c>
    </row>
    <row r="352" spans="3:23">
      <c r="I352" s="31"/>
      <c r="J352" s="16" t="str">
        <f t="shared" si="60"/>
        <v/>
      </c>
      <c r="N352" s="6" t="str">
        <f t="shared" si="50"/>
        <v/>
      </c>
      <c r="O352" s="4" t="str">
        <f t="shared" si="51"/>
        <v/>
      </c>
      <c r="P352" s="4" t="str">
        <f t="shared" si="52"/>
        <v/>
      </c>
      <c r="Q352" t="str">
        <f t="shared" si="53"/>
        <v/>
      </c>
      <c r="R352" t="str">
        <f t="shared" si="54"/>
        <v/>
      </c>
      <c r="S352" s="1" t="str">
        <f t="shared" si="55"/>
        <v>weekly</v>
      </c>
      <c r="T352" s="4" t="str">
        <f t="shared" si="56"/>
        <v/>
      </c>
      <c r="U352" s="10" t="str">
        <f t="shared" si="57"/>
        <v/>
      </c>
      <c r="V352" s="10" t="str">
        <f t="shared" si="58"/>
        <v/>
      </c>
      <c r="W352" s="33" t="str">
        <f t="shared" si="59"/>
        <v/>
      </c>
    </row>
    <row r="353" spans="9:23">
      <c r="I353" s="31"/>
      <c r="J353" s="16" t="str">
        <f t="shared" si="60"/>
        <v/>
      </c>
      <c r="N353" s="6" t="str">
        <f t="shared" si="50"/>
        <v/>
      </c>
      <c r="O353" s="4" t="str">
        <f t="shared" si="51"/>
        <v/>
      </c>
      <c r="P353" s="4" t="str">
        <f t="shared" si="52"/>
        <v/>
      </c>
      <c r="Q353" t="str">
        <f t="shared" si="53"/>
        <v/>
      </c>
      <c r="R353" t="str">
        <f t="shared" si="54"/>
        <v/>
      </c>
      <c r="S353" s="1" t="str">
        <f t="shared" si="55"/>
        <v>weekly</v>
      </c>
      <c r="T353" s="4" t="str">
        <f t="shared" si="56"/>
        <v/>
      </c>
      <c r="U353" s="10" t="str">
        <f t="shared" si="57"/>
        <v/>
      </c>
      <c r="V353" s="10" t="str">
        <f t="shared" si="58"/>
        <v/>
      </c>
      <c r="W353" s="33" t="str">
        <f t="shared" si="59"/>
        <v/>
      </c>
    </row>
    <row r="354" spans="9:23">
      <c r="I354" s="31"/>
      <c r="J354" s="16" t="str">
        <f t="shared" si="60"/>
        <v/>
      </c>
      <c r="N354" s="6" t="str">
        <f t="shared" si="50"/>
        <v/>
      </c>
      <c r="O354" s="4" t="str">
        <f t="shared" si="51"/>
        <v/>
      </c>
      <c r="P354" s="4" t="str">
        <f t="shared" si="52"/>
        <v/>
      </c>
      <c r="Q354" t="str">
        <f t="shared" si="53"/>
        <v/>
      </c>
      <c r="R354" t="str">
        <f t="shared" si="54"/>
        <v/>
      </c>
      <c r="S354" s="1" t="str">
        <f t="shared" si="55"/>
        <v>weekly</v>
      </c>
      <c r="T354" s="4" t="str">
        <f t="shared" si="56"/>
        <v/>
      </c>
      <c r="U354" s="10" t="str">
        <f t="shared" si="57"/>
        <v/>
      </c>
      <c r="V354" s="10" t="str">
        <f t="shared" si="58"/>
        <v/>
      </c>
      <c r="W354" s="33" t="str">
        <f t="shared" si="59"/>
        <v/>
      </c>
    </row>
    <row r="355" spans="9:23">
      <c r="I355" s="31"/>
      <c r="J355" s="16" t="str">
        <f t="shared" si="60"/>
        <v/>
      </c>
      <c r="N355" s="6" t="str">
        <f t="shared" si="50"/>
        <v/>
      </c>
      <c r="O355" s="4" t="str">
        <f t="shared" si="51"/>
        <v/>
      </c>
      <c r="P355" s="4" t="str">
        <f t="shared" si="52"/>
        <v/>
      </c>
      <c r="Q355" t="str">
        <f t="shared" si="53"/>
        <v/>
      </c>
      <c r="R355" t="str">
        <f t="shared" si="54"/>
        <v/>
      </c>
      <c r="S355" s="1" t="str">
        <f t="shared" si="55"/>
        <v>weekly</v>
      </c>
      <c r="T355" s="4" t="str">
        <f t="shared" si="56"/>
        <v/>
      </c>
      <c r="U355" s="10" t="str">
        <f t="shared" si="57"/>
        <v/>
      </c>
      <c r="V355" s="10" t="str">
        <f t="shared" si="58"/>
        <v/>
      </c>
      <c r="W355" s="33" t="str">
        <f t="shared" si="59"/>
        <v/>
      </c>
    </row>
    <row r="356" spans="9:23">
      <c r="I356" s="31"/>
      <c r="J356" s="16" t="str">
        <f t="shared" si="60"/>
        <v/>
      </c>
      <c r="N356" s="6" t="str">
        <f t="shared" si="50"/>
        <v/>
      </c>
      <c r="O356" s="4" t="str">
        <f t="shared" si="51"/>
        <v/>
      </c>
      <c r="P356" s="4" t="str">
        <f t="shared" si="52"/>
        <v/>
      </c>
      <c r="Q356" t="str">
        <f t="shared" si="53"/>
        <v/>
      </c>
      <c r="R356" t="str">
        <f t="shared" si="54"/>
        <v/>
      </c>
      <c r="S356" s="1" t="str">
        <f t="shared" si="55"/>
        <v>weekly</v>
      </c>
      <c r="T356" s="4" t="str">
        <f t="shared" si="56"/>
        <v/>
      </c>
      <c r="U356" s="10" t="str">
        <f t="shared" si="57"/>
        <v/>
      </c>
      <c r="V356" s="10" t="str">
        <f t="shared" si="58"/>
        <v/>
      </c>
      <c r="W356" s="33" t="str">
        <f t="shared" si="59"/>
        <v/>
      </c>
    </row>
    <row r="357" spans="9:23">
      <c r="I357" s="31"/>
      <c r="J357" s="16" t="str">
        <f t="shared" si="60"/>
        <v/>
      </c>
      <c r="N357" s="6" t="str">
        <f t="shared" si="50"/>
        <v/>
      </c>
      <c r="O357" s="4" t="str">
        <f t="shared" si="51"/>
        <v/>
      </c>
      <c r="P357" s="4" t="str">
        <f t="shared" si="52"/>
        <v/>
      </c>
      <c r="Q357" t="str">
        <f t="shared" si="53"/>
        <v/>
      </c>
      <c r="R357" t="str">
        <f t="shared" si="54"/>
        <v/>
      </c>
      <c r="S357" s="1" t="str">
        <f t="shared" si="55"/>
        <v>weekly</v>
      </c>
      <c r="T357" s="4" t="str">
        <f t="shared" si="56"/>
        <v/>
      </c>
      <c r="U357" s="10" t="str">
        <f t="shared" si="57"/>
        <v/>
      </c>
      <c r="V357" s="10" t="str">
        <f t="shared" si="58"/>
        <v/>
      </c>
      <c r="W357" s="33" t="str">
        <f t="shared" si="59"/>
        <v/>
      </c>
    </row>
    <row r="358" spans="9:23">
      <c r="I358" s="31"/>
      <c r="J358" s="16" t="str">
        <f t="shared" si="60"/>
        <v/>
      </c>
      <c r="N358" s="6" t="str">
        <f t="shared" si="50"/>
        <v/>
      </c>
      <c r="O358" s="4" t="str">
        <f t="shared" si="51"/>
        <v/>
      </c>
      <c r="P358" s="4" t="str">
        <f t="shared" si="52"/>
        <v/>
      </c>
      <c r="Q358" t="str">
        <f t="shared" si="53"/>
        <v/>
      </c>
      <c r="R358" t="str">
        <f t="shared" si="54"/>
        <v/>
      </c>
      <c r="S358" s="1" t="str">
        <f t="shared" si="55"/>
        <v>weekly</v>
      </c>
      <c r="T358" s="4" t="str">
        <f t="shared" si="56"/>
        <v/>
      </c>
      <c r="U358" s="10" t="str">
        <f t="shared" si="57"/>
        <v/>
      </c>
      <c r="V358" s="10" t="str">
        <f t="shared" si="58"/>
        <v/>
      </c>
      <c r="W358" s="33" t="str">
        <f t="shared" si="59"/>
        <v/>
      </c>
    </row>
    <row r="359" spans="9:23">
      <c r="I359" s="31"/>
      <c r="J359" s="16" t="str">
        <f t="shared" si="60"/>
        <v/>
      </c>
      <c r="N359" s="6" t="str">
        <f t="shared" si="50"/>
        <v/>
      </c>
      <c r="O359" s="4" t="str">
        <f t="shared" si="51"/>
        <v/>
      </c>
      <c r="P359" s="4" t="str">
        <f t="shared" si="52"/>
        <v/>
      </c>
      <c r="Q359" t="str">
        <f t="shared" si="53"/>
        <v/>
      </c>
      <c r="R359" t="str">
        <f t="shared" si="54"/>
        <v/>
      </c>
      <c r="S359" s="1" t="str">
        <f t="shared" si="55"/>
        <v>weekly</v>
      </c>
      <c r="T359" s="4" t="str">
        <f t="shared" si="56"/>
        <v/>
      </c>
      <c r="U359" s="10" t="str">
        <f t="shared" si="57"/>
        <v/>
      </c>
      <c r="V359" s="10" t="str">
        <f t="shared" si="58"/>
        <v/>
      </c>
      <c r="W359" s="33" t="str">
        <f t="shared" si="59"/>
        <v/>
      </c>
    </row>
    <row r="360" spans="9:23">
      <c r="I360" s="31"/>
      <c r="J360" s="16" t="str">
        <f t="shared" si="60"/>
        <v/>
      </c>
      <c r="N360" s="6" t="str">
        <f t="shared" si="50"/>
        <v/>
      </c>
      <c r="O360" s="4" t="str">
        <f t="shared" si="51"/>
        <v/>
      </c>
      <c r="P360" s="4" t="str">
        <f t="shared" si="52"/>
        <v/>
      </c>
      <c r="Q360" t="str">
        <f t="shared" si="53"/>
        <v/>
      </c>
      <c r="R360" t="str">
        <f t="shared" si="54"/>
        <v/>
      </c>
      <c r="S360" s="1" t="str">
        <f t="shared" si="55"/>
        <v>weekly</v>
      </c>
      <c r="T360" s="4" t="str">
        <f t="shared" si="56"/>
        <v/>
      </c>
      <c r="U360" s="10" t="str">
        <f t="shared" si="57"/>
        <v/>
      </c>
      <c r="V360" s="10" t="str">
        <f t="shared" si="58"/>
        <v/>
      </c>
      <c r="W360" s="33" t="str">
        <f t="shared" si="59"/>
        <v/>
      </c>
    </row>
    <row r="361" spans="9:23">
      <c r="I361" s="31"/>
      <c r="J361" s="16" t="str">
        <f t="shared" si="60"/>
        <v/>
      </c>
      <c r="N361" s="6" t="str">
        <f t="shared" si="50"/>
        <v/>
      </c>
      <c r="O361" s="4" t="str">
        <f t="shared" si="51"/>
        <v/>
      </c>
      <c r="P361" s="4" t="str">
        <f t="shared" si="52"/>
        <v/>
      </c>
      <c r="Q361" t="str">
        <f t="shared" si="53"/>
        <v/>
      </c>
      <c r="R361" t="str">
        <f t="shared" si="54"/>
        <v/>
      </c>
      <c r="S361" s="1" t="str">
        <f t="shared" si="55"/>
        <v>weekly</v>
      </c>
      <c r="T361" s="4" t="str">
        <f t="shared" si="56"/>
        <v/>
      </c>
      <c r="U361" s="10" t="str">
        <f t="shared" si="57"/>
        <v/>
      </c>
      <c r="V361" s="10" t="str">
        <f t="shared" si="58"/>
        <v/>
      </c>
      <c r="W361" s="33" t="str">
        <f t="shared" si="59"/>
        <v/>
      </c>
    </row>
    <row r="362" spans="9:23">
      <c r="I362" s="31"/>
      <c r="J362" s="16" t="str">
        <f t="shared" si="60"/>
        <v/>
      </c>
      <c r="N362" s="6" t="str">
        <f t="shared" si="50"/>
        <v/>
      </c>
      <c r="O362" s="4" t="str">
        <f t="shared" si="51"/>
        <v/>
      </c>
      <c r="P362" s="4" t="str">
        <f t="shared" si="52"/>
        <v/>
      </c>
      <c r="Q362" t="str">
        <f t="shared" si="53"/>
        <v/>
      </c>
      <c r="R362" t="str">
        <f t="shared" si="54"/>
        <v/>
      </c>
      <c r="S362" s="1" t="str">
        <f t="shared" si="55"/>
        <v>weekly</v>
      </c>
      <c r="T362" s="4" t="str">
        <f t="shared" si="56"/>
        <v/>
      </c>
      <c r="U362" s="10" t="str">
        <f t="shared" si="57"/>
        <v/>
      </c>
      <c r="V362" s="10" t="str">
        <f t="shared" si="58"/>
        <v/>
      </c>
      <c r="W362" s="33" t="str">
        <f t="shared" si="59"/>
        <v/>
      </c>
    </row>
    <row r="363" spans="9:23">
      <c r="I363" s="31"/>
      <c r="J363" s="16" t="str">
        <f t="shared" si="60"/>
        <v/>
      </c>
      <c r="N363" s="6" t="str">
        <f t="shared" si="50"/>
        <v/>
      </c>
      <c r="O363" s="4" t="str">
        <f t="shared" si="51"/>
        <v/>
      </c>
      <c r="P363" s="4" t="str">
        <f t="shared" si="52"/>
        <v/>
      </c>
      <c r="Q363" t="str">
        <f t="shared" si="53"/>
        <v/>
      </c>
      <c r="R363" t="str">
        <f t="shared" si="54"/>
        <v/>
      </c>
      <c r="S363" s="1" t="str">
        <f t="shared" si="55"/>
        <v>weekly</v>
      </c>
      <c r="T363" s="4" t="str">
        <f t="shared" si="56"/>
        <v/>
      </c>
      <c r="U363" s="10" t="str">
        <f t="shared" si="57"/>
        <v/>
      </c>
      <c r="V363" s="10" t="str">
        <f t="shared" si="58"/>
        <v/>
      </c>
      <c r="W363" s="33" t="str">
        <f t="shared" si="59"/>
        <v/>
      </c>
    </row>
    <row r="364" spans="9:23">
      <c r="I364" s="31"/>
      <c r="J364" s="16" t="str">
        <f t="shared" si="60"/>
        <v/>
      </c>
      <c r="N364" s="6" t="str">
        <f t="shared" si="50"/>
        <v/>
      </c>
      <c r="O364" s="4" t="str">
        <f t="shared" si="51"/>
        <v/>
      </c>
      <c r="P364" s="4" t="str">
        <f t="shared" si="52"/>
        <v/>
      </c>
      <c r="Q364" t="str">
        <f t="shared" si="53"/>
        <v/>
      </c>
      <c r="R364" t="str">
        <f t="shared" si="54"/>
        <v/>
      </c>
      <c r="S364" s="1" t="str">
        <f t="shared" si="55"/>
        <v>weekly</v>
      </c>
      <c r="T364" s="4" t="str">
        <f t="shared" si="56"/>
        <v/>
      </c>
      <c r="U364" s="10" t="str">
        <f t="shared" si="57"/>
        <v/>
      </c>
      <c r="V364" s="10" t="str">
        <f t="shared" si="58"/>
        <v/>
      </c>
      <c r="W364" s="33" t="str">
        <f t="shared" si="59"/>
        <v/>
      </c>
    </row>
    <row r="365" spans="9:23">
      <c r="I365" s="31"/>
      <c r="J365" s="16" t="str">
        <f t="shared" si="60"/>
        <v/>
      </c>
      <c r="N365" s="6" t="str">
        <f t="shared" si="50"/>
        <v/>
      </c>
      <c r="O365" s="4" t="str">
        <f t="shared" si="51"/>
        <v/>
      </c>
      <c r="P365" s="4" t="str">
        <f t="shared" si="52"/>
        <v/>
      </c>
      <c r="Q365" t="str">
        <f t="shared" si="53"/>
        <v/>
      </c>
      <c r="R365" t="str">
        <f t="shared" si="54"/>
        <v/>
      </c>
      <c r="S365" s="1" t="str">
        <f t="shared" si="55"/>
        <v>weekly</v>
      </c>
      <c r="T365" s="4" t="str">
        <f t="shared" si="56"/>
        <v/>
      </c>
      <c r="U365" s="10" t="str">
        <f t="shared" si="57"/>
        <v/>
      </c>
      <c r="V365" s="10" t="str">
        <f t="shared" si="58"/>
        <v/>
      </c>
      <c r="W365" s="33" t="str">
        <f t="shared" si="59"/>
        <v/>
      </c>
    </row>
    <row r="366" spans="9:23">
      <c r="P366" s="4" t="str">
        <f t="shared" si="52"/>
        <v/>
      </c>
      <c r="R366" t="str">
        <f t="shared" si="54"/>
        <v/>
      </c>
      <c r="S366" s="1"/>
    </row>
    <row r="367" spans="9:23">
      <c r="P367" s="4" t="str">
        <f t="shared" si="52"/>
        <v/>
      </c>
      <c r="R367" t="str">
        <f t="shared" si="54"/>
        <v/>
      </c>
      <c r="S367" s="1"/>
    </row>
    <row r="368" spans="9:23">
      <c r="P368" s="4" t="str">
        <f t="shared" si="52"/>
        <v/>
      </c>
      <c r="R368" t="str">
        <f t="shared" si="54"/>
        <v/>
      </c>
      <c r="S368" s="1"/>
    </row>
    <row r="369" spans="16:19">
      <c r="P369" s="4" t="str">
        <f t="shared" si="52"/>
        <v/>
      </c>
      <c r="R369" t="str">
        <f t="shared" si="54"/>
        <v/>
      </c>
      <c r="S369" s="1"/>
    </row>
    <row r="370" spans="16:19">
      <c r="P370" s="4" t="str">
        <f t="shared" si="52"/>
        <v/>
      </c>
      <c r="R370" t="str">
        <f t="shared" si="54"/>
        <v/>
      </c>
      <c r="S370" s="1"/>
    </row>
    <row r="371" spans="16:19">
      <c r="P371" s="4" t="str">
        <f t="shared" si="52"/>
        <v/>
      </c>
      <c r="R371" t="str">
        <f t="shared" si="54"/>
        <v/>
      </c>
      <c r="S371" s="1"/>
    </row>
    <row r="372" spans="16:19">
      <c r="P372" s="4" t="str">
        <f t="shared" si="52"/>
        <v/>
      </c>
      <c r="R372" t="str">
        <f t="shared" si="54"/>
        <v/>
      </c>
      <c r="S372" s="1"/>
    </row>
    <row r="373" spans="16:19">
      <c r="P373" s="4" t="str">
        <f t="shared" si="52"/>
        <v/>
      </c>
    </row>
    <row r="374" spans="16:19">
      <c r="P374" s="4" t="str">
        <f t="shared" si="52"/>
        <v/>
      </c>
    </row>
    <row r="375" spans="16:19">
      <c r="P375" s="4" t="str">
        <f t="shared" si="52"/>
        <v/>
      </c>
    </row>
  </sheetData>
  <conditionalFormatting sqref="AD2:AD4 AD6:AD10">
    <cfRule type="cellIs" dxfId="17" priority="19" operator="greaterThan">
      <formula>500</formula>
    </cfRule>
    <cfRule type="colorScale" priority="20">
      <colorScale>
        <cfvo type="num" val="0"/>
        <cfvo type="num" val="250"/>
        <cfvo type="num" val="499"/>
        <color rgb="FF00B050"/>
        <color rgb="FFFFEB84"/>
        <color rgb="FFFF4B4B"/>
      </colorScale>
    </cfRule>
  </conditionalFormatting>
  <conditionalFormatting sqref="J2:J257 J269:J365">
    <cfRule type="colorScale" priority="18">
      <colorScale>
        <cfvo type="min"/>
        <cfvo type="percentile" val="50"/>
        <cfvo type="max"/>
        <color rgb="FF00B050"/>
        <color rgb="FFCCFFCC"/>
        <color theme="0"/>
      </colorScale>
    </cfRule>
  </conditionalFormatting>
  <conditionalFormatting sqref="C2:C153 C155:C158 C161:C168 C170:C173 C176:C183 C186:C188 C190:C257 C269:C365">
    <cfRule type="expression" dxfId="16" priority="17">
      <formula>WEEKDAY($C2, 2) = 1</formula>
    </cfRule>
  </conditionalFormatting>
  <conditionalFormatting sqref="K2:K257 K269:K365">
    <cfRule type="colorScale" priority="16">
      <colorScale>
        <cfvo type="min"/>
        <cfvo type="max"/>
        <color theme="0"/>
        <color rgb="FFFF4B4B"/>
      </colorScale>
    </cfRule>
  </conditionalFormatting>
  <conditionalFormatting sqref="H2:H257 H269:H1048576">
    <cfRule type="colorScale" priority="15">
      <colorScale>
        <cfvo type="min"/>
        <cfvo type="percentile" val="50"/>
        <cfvo type="max"/>
        <color rgb="FF00B0F0"/>
        <color theme="0"/>
        <color rgb="FFFFFF00"/>
      </colorScale>
    </cfRule>
  </conditionalFormatting>
  <conditionalFormatting sqref="I2:I257 I269:I1048576">
    <cfRule type="colorScale" priority="14">
      <colorScale>
        <cfvo type="min"/>
        <cfvo type="max"/>
        <color theme="0"/>
        <color rgb="FF0070C0"/>
      </colorScale>
    </cfRule>
  </conditionalFormatting>
  <conditionalFormatting sqref="AB53:AB257 AB2 AB269:AB1048576">
    <cfRule type="colorScale" priority="13">
      <colorScale>
        <cfvo type="num" val="0"/>
        <cfvo type="num" val="10"/>
        <color theme="0"/>
        <color rgb="FFFF0000"/>
      </colorScale>
    </cfRule>
  </conditionalFormatting>
  <conditionalFormatting sqref="AA53:AA257 AA269:AA1048576">
    <cfRule type="colorScale" priority="12">
      <colorScale>
        <cfvo type="min"/>
        <cfvo type="percentile" val="50"/>
        <cfvo type="max"/>
        <color rgb="FF00B050"/>
        <color rgb="FFCCFFCC"/>
        <color theme="0"/>
      </colorScale>
    </cfRule>
  </conditionalFormatting>
  <conditionalFormatting sqref="Z53:Z257 Z269:Z1048576">
    <cfRule type="colorScale" priority="11">
      <colorScale>
        <cfvo type="num" val="0"/>
        <cfvo type="num" val="160"/>
        <color theme="0"/>
        <color rgb="FFFF0000"/>
      </colorScale>
    </cfRule>
  </conditionalFormatting>
  <conditionalFormatting sqref="Y53:Y257 Y269:Y1048576">
    <cfRule type="colorScale" priority="10">
      <colorScale>
        <cfvo type="min"/>
        <cfvo type="percentile" val="50"/>
        <cfvo type="max"/>
        <color rgb="FF00B050"/>
        <color rgb="FFCCFFCC"/>
        <color theme="0"/>
      </colorScale>
    </cfRule>
  </conditionalFormatting>
  <conditionalFormatting sqref="J258:J268">
    <cfRule type="colorScale" priority="9">
      <colorScale>
        <cfvo type="min"/>
        <cfvo type="percentile" val="50"/>
        <cfvo type="max"/>
        <color rgb="FF00B050"/>
        <color rgb="FFCCFFCC"/>
        <color theme="0"/>
      </colorScale>
    </cfRule>
  </conditionalFormatting>
  <conditionalFormatting sqref="C258:C268">
    <cfRule type="expression" dxfId="15" priority="8">
      <formula>WEEKDAY($C258, 2) = 1</formula>
    </cfRule>
  </conditionalFormatting>
  <conditionalFormatting sqref="K258:K268">
    <cfRule type="colorScale" priority="7">
      <colorScale>
        <cfvo type="min"/>
        <cfvo type="max"/>
        <color theme="0"/>
        <color rgb="FFFF4B4B"/>
      </colorScale>
    </cfRule>
  </conditionalFormatting>
  <conditionalFormatting sqref="H258:H268">
    <cfRule type="colorScale" priority="6">
      <colorScale>
        <cfvo type="min"/>
        <cfvo type="percentile" val="50"/>
        <cfvo type="max"/>
        <color rgb="FF00B0F0"/>
        <color theme="0"/>
        <color rgb="FFFFFF00"/>
      </colorScale>
    </cfRule>
  </conditionalFormatting>
  <conditionalFormatting sqref="I258:I268">
    <cfRule type="colorScale" priority="5">
      <colorScale>
        <cfvo type="min"/>
        <cfvo type="max"/>
        <color theme="0"/>
        <color rgb="FF0070C0"/>
      </colorScale>
    </cfRule>
  </conditionalFormatting>
  <conditionalFormatting sqref="AB258:AB268">
    <cfRule type="colorScale" priority="4">
      <colorScale>
        <cfvo type="num" val="0"/>
        <cfvo type="num" val="10"/>
        <color theme="0"/>
        <color rgb="FFFF0000"/>
      </colorScale>
    </cfRule>
  </conditionalFormatting>
  <conditionalFormatting sqref="AA258:AA268">
    <cfRule type="colorScale" priority="3">
      <colorScale>
        <cfvo type="min"/>
        <cfvo type="percentile" val="50"/>
        <cfvo type="max"/>
        <color rgb="FF00B050"/>
        <color rgb="FFCCFFCC"/>
        <color theme="0"/>
      </colorScale>
    </cfRule>
  </conditionalFormatting>
  <conditionalFormatting sqref="Z258:Z268">
    <cfRule type="colorScale" priority="2">
      <colorScale>
        <cfvo type="num" val="0"/>
        <cfvo type="num" val="160"/>
        <color theme="0"/>
        <color rgb="FFFF0000"/>
      </colorScale>
    </cfRule>
  </conditionalFormatting>
  <conditionalFormatting sqref="Y258:Y268">
    <cfRule type="colorScale" priority="1">
      <colorScale>
        <cfvo type="min"/>
        <cfvo type="percentile" val="50"/>
        <cfvo type="max"/>
        <color rgb="FF00B050"/>
        <color rgb="FFCCFFCC"/>
        <color theme="0"/>
      </colorScale>
    </cfRule>
  </conditionalFormatting>
  <pageMargins left="0.75" right="0.75" top="1" bottom="1" header="0.5" footer="0.5"/>
  <pageSetup paperSize="9" orientation="portrait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Oskari Sulkakoski</cp:lastModifiedBy>
  <dcterms:created xsi:type="dcterms:W3CDTF">2025-02-08T09:56:03Z</dcterms:created>
  <dcterms:modified xsi:type="dcterms:W3CDTF">2025-12-26T10:14:01Z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2025-02-08T10:00:14Z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2baacab8-5842-4cae-b85b-f70bdcce9af2</vt:lpwstr>
  </property>
  <property fmtid="{D5CDD505-2E9C-101B-9397-08002B2CF9AE}" pid="7" name="MSIP_Label_defa4170-0d19-0005-0004-bc88714345d2_ActionId">
    <vt:lpwstr>beb2ba23-56be-4e95-989e-2ef37d50c296</vt:lpwstr>
  </property>
  <property fmtid="{D5CDD505-2E9C-101B-9397-08002B2CF9AE}" pid="8" name="MSIP_Label_defa4170-0d19-0005-0004-bc88714345d2_ContentBits">
    <vt:lpwstr>0</vt:lpwstr>
  </property>
</Properties>
</file>